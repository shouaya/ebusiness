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8035" windowHeight="11895" activeTab="10"/>
  </bookViews>
  <sheets>
    <sheet name="案件状態" sheetId="1" r:id="rId1"/>
    <sheet name="会社" sheetId="2" r:id="rId2"/>
    <sheet name="部署" sheetId="3" r:id="rId3"/>
    <sheet name="営業員" sheetId="8" r:id="rId4"/>
    <sheet name="社員" sheetId="5" r:id="rId5"/>
    <sheet name="取引先" sheetId="4" r:id="rId6"/>
    <sheet name="案件" sheetId="6" r:id="rId7"/>
    <sheet name="案件メンバー" sheetId="7" r:id="rId8"/>
    <sheet name="お客様" sheetId="9" r:id="rId9"/>
    <sheet name="スキル" sheetId="10" r:id="rId10"/>
    <sheet name="案件のスキル要求" sheetId="11" r:id="rId11"/>
  </sheets>
  <functionGroups builtInGroupCount="17"/>
  <calcPr calcId="145621"/>
</workbook>
</file>

<file path=xl/calcChain.xml><?xml version="1.0" encoding="utf-8"?>
<calcChain xmlns="http://schemas.openxmlformats.org/spreadsheetml/2006/main">
  <c r="A35" i="10" l="1"/>
  <c r="A36" i="10"/>
  <c r="A28" i="10"/>
  <c r="A29" i="10"/>
  <c r="A30" i="10"/>
  <c r="A31" i="10"/>
  <c r="A32" i="10"/>
  <c r="A33" i="10"/>
  <c r="A34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11" i="10"/>
  <c r="F271" i="7" l="1"/>
  <c r="F272" i="7"/>
  <c r="F273" i="7"/>
  <c r="F274" i="7"/>
  <c r="F275" i="7"/>
  <c r="A271" i="7"/>
  <c r="A272" i="7"/>
  <c r="A273" i="7"/>
  <c r="A274" i="7"/>
  <c r="A275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11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2" i="7"/>
  <c r="E163" i="7"/>
  <c r="E171" i="7"/>
  <c r="E179" i="7"/>
  <c r="E164" i="7"/>
  <c r="E172" i="7"/>
  <c r="E180" i="7"/>
  <c r="E165" i="7"/>
  <c r="E173" i="7"/>
  <c r="E181" i="7"/>
  <c r="E166" i="7"/>
  <c r="E174" i="7"/>
  <c r="E182" i="7"/>
  <c r="E167" i="7"/>
  <c r="E175" i="7"/>
  <c r="E183" i="7"/>
  <c r="E160" i="7"/>
  <c r="E168" i="7"/>
  <c r="E176" i="7"/>
  <c r="E161" i="7"/>
  <c r="E169" i="7"/>
  <c r="E177" i="7"/>
  <c r="E162" i="7"/>
  <c r="E170" i="7"/>
  <c r="E178" i="7"/>
  <c r="E159" i="7"/>
  <c r="F30" i="6"/>
  <c r="E243" i="7" l="1"/>
  <c r="E235" i="7"/>
  <c r="E241" i="7"/>
  <c r="E242" i="7"/>
  <c r="E234" i="7"/>
  <c r="E249" i="7"/>
  <c r="E248" i="7"/>
  <c r="E240" i="7"/>
  <c r="E232" i="7"/>
  <c r="E247" i="7"/>
  <c r="E239" i="7"/>
  <c r="E231" i="7"/>
  <c r="E246" i="7"/>
  <c r="E238" i="7"/>
  <c r="E230" i="7"/>
  <c r="E245" i="7"/>
  <c r="E237" i="7"/>
  <c r="E229" i="7"/>
  <c r="E244" i="7"/>
  <c r="E236" i="7"/>
  <c r="E233" i="7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2" i="8"/>
  <c r="D13" i="8"/>
  <c r="D14" i="8"/>
  <c r="D11" i="8"/>
  <c r="K24" i="6"/>
  <c r="J26" i="6"/>
  <c r="J11" i="6"/>
  <c r="J24" i="6"/>
  <c r="J30" i="6"/>
  <c r="K17" i="6"/>
  <c r="K18" i="6"/>
  <c r="E26" i="6"/>
  <c r="F13" i="6"/>
  <c r="F32" i="6"/>
  <c r="F36" i="6"/>
  <c r="J29" i="6"/>
  <c r="K31" i="6"/>
  <c r="K38" i="6"/>
  <c r="J19" i="6"/>
  <c r="J32" i="6"/>
  <c r="J13" i="6"/>
  <c r="K32" i="6"/>
  <c r="F18" i="6"/>
  <c r="F17" i="6"/>
  <c r="E19" i="6"/>
  <c r="E24" i="6"/>
  <c r="F12" i="6"/>
  <c r="F31" i="6"/>
  <c r="E39" i="6"/>
  <c r="J31" i="6"/>
  <c r="K36" i="6"/>
  <c r="K11" i="6"/>
  <c r="K33" i="6"/>
  <c r="J27" i="6"/>
  <c r="J15" i="6"/>
  <c r="J21" i="6"/>
  <c r="E27" i="6"/>
  <c r="F11" i="6"/>
  <c r="F38" i="6"/>
  <c r="F37" i="6"/>
  <c r="J18" i="6"/>
  <c r="K27" i="6"/>
  <c r="K23" i="6"/>
  <c r="J38" i="6"/>
  <c r="K12" i="6"/>
  <c r="J25" i="6"/>
  <c r="J23" i="6"/>
  <c r="E23" i="6" s="1"/>
  <c r="F23" i="6"/>
  <c r="E25" i="6"/>
  <c r="J28" i="6"/>
  <c r="E28" i="6" s="1"/>
  <c r="K30" i="6"/>
  <c r="K28" i="6"/>
  <c r="K15" i="6"/>
  <c r="J17" i="6"/>
  <c r="E17" i="6" s="1"/>
  <c r="J12" i="6"/>
  <c r="J33" i="6"/>
  <c r="F27" i="6"/>
  <c r="E21" i="6"/>
  <c r="E18" i="6"/>
  <c r="F39" i="6"/>
  <c r="K21" i="6"/>
  <c r="J14" i="6"/>
  <c r="K19" i="6"/>
  <c r="F19" i="6" s="1"/>
  <c r="K20" i="6"/>
  <c r="J35" i="6"/>
  <c r="K35" i="6"/>
  <c r="J20" i="6"/>
  <c r="F20" i="6"/>
  <c r="F24" i="6"/>
  <c r="E29" i="6"/>
  <c r="F15" i="6"/>
  <c r="F35" i="6"/>
  <c r="K29" i="6"/>
  <c r="F29" i="6" s="1"/>
  <c r="J37" i="6"/>
  <c r="J16" i="6"/>
  <c r="K37" i="6"/>
  <c r="K34" i="6"/>
  <c r="K22" i="6"/>
  <c r="F22" i="6" s="1"/>
  <c r="J39" i="6"/>
  <c r="K39" i="6"/>
  <c r="F28" i="6"/>
  <c r="E20" i="6"/>
  <c r="E15" i="6"/>
  <c r="F34" i="6"/>
  <c r="K25" i="6"/>
  <c r="F25" i="6" s="1"/>
  <c r="J36" i="6"/>
  <c r="J34" i="6"/>
  <c r="J22" i="6"/>
  <c r="K13" i="6"/>
  <c r="K26" i="6"/>
  <c r="F26" i="6" s="1"/>
  <c r="K14" i="6"/>
  <c r="K16" i="6"/>
  <c r="F16" i="6" s="1"/>
  <c r="F21" i="6"/>
  <c r="E16" i="6"/>
  <c r="E22" i="6"/>
  <c r="F14" i="6"/>
  <c r="F33" i="6"/>
  <c r="E223" i="7" l="1"/>
  <c r="E215" i="7"/>
  <c r="E207" i="7"/>
  <c r="E199" i="7"/>
  <c r="E191" i="7"/>
  <c r="E213" i="7"/>
  <c r="E222" i="7"/>
  <c r="E214" i="7"/>
  <c r="E206" i="7"/>
  <c r="E198" i="7"/>
  <c r="E190" i="7"/>
  <c r="E197" i="7"/>
  <c r="E228" i="7"/>
  <c r="E220" i="7"/>
  <c r="E212" i="7"/>
  <c r="E204" i="7"/>
  <c r="E196" i="7"/>
  <c r="E188" i="7"/>
  <c r="E221" i="7"/>
  <c r="E227" i="7"/>
  <c r="E219" i="7"/>
  <c r="E211" i="7"/>
  <c r="E203" i="7"/>
  <c r="E195" i="7"/>
  <c r="E187" i="7"/>
  <c r="E205" i="7"/>
  <c r="E226" i="7"/>
  <c r="E218" i="7"/>
  <c r="E210" i="7"/>
  <c r="E202" i="7"/>
  <c r="E194" i="7"/>
  <c r="E186" i="7"/>
  <c r="E225" i="7"/>
  <c r="E217" i="7"/>
  <c r="E209" i="7"/>
  <c r="E201" i="7"/>
  <c r="E193" i="7"/>
  <c r="E185" i="7"/>
  <c r="E189" i="7"/>
  <c r="E224" i="7"/>
  <c r="E216" i="7"/>
  <c r="E208" i="7"/>
  <c r="E200" i="7"/>
  <c r="E192" i="7"/>
  <c r="E184" i="7"/>
  <c r="D272" i="7"/>
  <c r="E272" i="7"/>
  <c r="D271" i="7"/>
  <c r="E271" i="7"/>
  <c r="E275" i="7"/>
  <c r="D274" i="7"/>
  <c r="D273" i="7"/>
  <c r="E263" i="7"/>
  <c r="E255" i="7"/>
  <c r="E270" i="7"/>
  <c r="E262" i="7"/>
  <c r="E254" i="7"/>
  <c r="E268" i="7"/>
  <c r="E260" i="7"/>
  <c r="E252" i="7"/>
  <c r="E261" i="7"/>
  <c r="E267" i="7"/>
  <c r="E259" i="7"/>
  <c r="E251" i="7"/>
  <c r="E253" i="7"/>
  <c r="E266" i="7"/>
  <c r="E258" i="7"/>
  <c r="E250" i="7"/>
  <c r="E265" i="7"/>
  <c r="E257" i="7"/>
  <c r="E269" i="7"/>
  <c r="E264" i="7"/>
  <c r="E256" i="7"/>
  <c r="E138" i="7"/>
  <c r="E130" i="7"/>
  <c r="E122" i="7"/>
  <c r="E114" i="7"/>
  <c r="E106" i="7"/>
  <c r="E98" i="7"/>
  <c r="E90" i="7"/>
  <c r="E136" i="7"/>
  <c r="E88" i="7"/>
  <c r="E137" i="7"/>
  <c r="E129" i="7"/>
  <c r="E121" i="7"/>
  <c r="E113" i="7"/>
  <c r="E105" i="7"/>
  <c r="E97" i="7"/>
  <c r="E89" i="7"/>
  <c r="E112" i="7"/>
  <c r="E135" i="7"/>
  <c r="E127" i="7"/>
  <c r="E119" i="7"/>
  <c r="E111" i="7"/>
  <c r="E103" i="7"/>
  <c r="E95" i="7"/>
  <c r="E87" i="7"/>
  <c r="E96" i="7"/>
  <c r="E134" i="7"/>
  <c r="E126" i="7"/>
  <c r="E118" i="7"/>
  <c r="E110" i="7"/>
  <c r="E102" i="7"/>
  <c r="E94" i="7"/>
  <c r="E86" i="7"/>
  <c r="E120" i="7"/>
  <c r="E141" i="7"/>
  <c r="E133" i="7"/>
  <c r="E125" i="7"/>
  <c r="E117" i="7"/>
  <c r="E109" i="7"/>
  <c r="E101" i="7"/>
  <c r="E93" i="7"/>
  <c r="E140" i="7"/>
  <c r="E132" i="7"/>
  <c r="E124" i="7"/>
  <c r="E116" i="7"/>
  <c r="E108" i="7"/>
  <c r="E100" i="7"/>
  <c r="E92" i="7"/>
  <c r="E128" i="7"/>
  <c r="E139" i="7"/>
  <c r="E131" i="7"/>
  <c r="E123" i="7"/>
  <c r="E115" i="7"/>
  <c r="E107" i="7"/>
  <c r="E99" i="7"/>
  <c r="E91" i="7"/>
  <c r="E104" i="7"/>
  <c r="D275" i="7"/>
  <c r="E273" i="7"/>
  <c r="E274" i="7"/>
  <c r="E154" i="7"/>
  <c r="E146" i="7"/>
  <c r="E153" i="7"/>
  <c r="E145" i="7"/>
  <c r="E151" i="7"/>
  <c r="E143" i="7"/>
  <c r="E144" i="7"/>
  <c r="E158" i="7"/>
  <c r="E150" i="7"/>
  <c r="E142" i="7"/>
  <c r="E157" i="7"/>
  <c r="E149" i="7"/>
  <c r="E156" i="7"/>
  <c r="E148" i="7"/>
  <c r="E155" i="7"/>
  <c r="E147" i="7"/>
  <c r="E152" i="7"/>
  <c r="E41" i="7"/>
  <c r="E81" i="7"/>
  <c r="E73" i="7"/>
  <c r="E65" i="7"/>
  <c r="E49" i="7"/>
  <c r="E80" i="7"/>
  <c r="E72" i="7"/>
  <c r="E64" i="7"/>
  <c r="E56" i="7"/>
  <c r="E48" i="7"/>
  <c r="E40" i="7"/>
  <c r="E32" i="7"/>
  <c r="E24" i="7"/>
  <c r="E16" i="7"/>
  <c r="E79" i="7"/>
  <c r="E71" i="7"/>
  <c r="E63" i="7"/>
  <c r="E55" i="7"/>
  <c r="E47" i="7"/>
  <c r="E39" i="7"/>
  <c r="E31" i="7"/>
  <c r="E23" i="7"/>
  <c r="E15" i="7"/>
  <c r="E42" i="7"/>
  <c r="E26" i="7"/>
  <c r="E57" i="7"/>
  <c r="E25" i="7"/>
  <c r="E17" i="7"/>
  <c r="E78" i="7"/>
  <c r="E70" i="7"/>
  <c r="E62" i="7"/>
  <c r="E54" i="7"/>
  <c r="E46" i="7"/>
  <c r="E38" i="7"/>
  <c r="E30" i="7"/>
  <c r="E22" i="7"/>
  <c r="E14" i="7"/>
  <c r="E85" i="7"/>
  <c r="E77" i="7"/>
  <c r="E69" i="7"/>
  <c r="E61" i="7"/>
  <c r="E53" i="7"/>
  <c r="E45" i="7"/>
  <c r="E37" i="7"/>
  <c r="E29" i="7"/>
  <c r="E21" i="7"/>
  <c r="E13" i="7"/>
  <c r="E84" i="7"/>
  <c r="E76" i="7"/>
  <c r="E68" i="7"/>
  <c r="E60" i="7"/>
  <c r="E52" i="7"/>
  <c r="E44" i="7"/>
  <c r="E36" i="7"/>
  <c r="E28" i="7"/>
  <c r="E20" i="7"/>
  <c r="E12" i="7"/>
  <c r="E83" i="7"/>
  <c r="E75" i="7"/>
  <c r="E67" i="7"/>
  <c r="E59" i="7"/>
  <c r="E51" i="7"/>
  <c r="E43" i="7"/>
  <c r="E35" i="7"/>
  <c r="E27" i="7"/>
  <c r="E19" i="7"/>
  <c r="E11" i="7"/>
  <c r="E82" i="7"/>
  <c r="E74" i="7"/>
  <c r="E66" i="7"/>
  <c r="E58" i="7"/>
  <c r="E50" i="7"/>
  <c r="E34" i="7"/>
  <c r="E18" i="7"/>
  <c r="E33" i="7"/>
  <c r="E36" i="6"/>
  <c r="E38" i="6"/>
  <c r="E37" i="6"/>
  <c r="E31" i="6"/>
  <c r="E32" i="6"/>
  <c r="E35" i="6"/>
  <c r="E30" i="6"/>
  <c r="E34" i="6"/>
  <c r="E33" i="6"/>
  <c r="D249" i="7" l="1"/>
  <c r="D241" i="7"/>
  <c r="D233" i="7"/>
  <c r="D247" i="7"/>
  <c r="D248" i="7"/>
  <c r="D240" i="7"/>
  <c r="D232" i="7"/>
  <c r="D246" i="7"/>
  <c r="D238" i="7"/>
  <c r="D230" i="7"/>
  <c r="D245" i="7"/>
  <c r="D237" i="7"/>
  <c r="D229" i="7"/>
  <c r="D231" i="7"/>
  <c r="D244" i="7"/>
  <c r="D236" i="7"/>
  <c r="D243" i="7"/>
  <c r="D235" i="7"/>
  <c r="D239" i="7"/>
  <c r="D242" i="7"/>
  <c r="D234" i="7"/>
  <c r="D268" i="7"/>
  <c r="D260" i="7"/>
  <c r="D252" i="7"/>
  <c r="D266" i="7"/>
  <c r="D267" i="7"/>
  <c r="D259" i="7"/>
  <c r="D251" i="7"/>
  <c r="D265" i="7"/>
  <c r="D257" i="7"/>
  <c r="D264" i="7"/>
  <c r="D256" i="7"/>
  <c r="D250" i="7"/>
  <c r="D263" i="7"/>
  <c r="D255" i="7"/>
  <c r="D270" i="7"/>
  <c r="D262" i="7"/>
  <c r="D254" i="7"/>
  <c r="D269" i="7"/>
  <c r="D261" i="7"/>
  <c r="D253" i="7"/>
  <c r="D258" i="7"/>
</calcChain>
</file>

<file path=xl/sharedStrings.xml><?xml version="1.0" encoding="utf-8"?>
<sst xmlns="http://schemas.openxmlformats.org/spreadsheetml/2006/main" count="1466" uniqueCount="887">
  <si>
    <t>提案</t>
  </si>
  <si>
    <t>実施中</t>
  </si>
  <si>
    <t>EB_PROJECTSTATUS</t>
  </si>
  <si>
    <t>EB_COMPANY</t>
  </si>
  <si>
    <t>株式会社イー・ビジネス</t>
  </si>
  <si>
    <t>EB_SECTION</t>
  </si>
  <si>
    <t>SS1</t>
  </si>
  <si>
    <t>SS2</t>
  </si>
  <si>
    <t>SS3</t>
  </si>
  <si>
    <t>SS4</t>
  </si>
  <si>
    <t>SS5</t>
  </si>
  <si>
    <t>営業１部</t>
    <rPh sb="0" eb="2">
      <t>エイギョウ</t>
    </rPh>
    <rPh sb="3" eb="4">
      <t>ブ</t>
    </rPh>
    <phoneticPr fontId="1"/>
  </si>
  <si>
    <t>会社名</t>
  </si>
  <si>
    <t>何か月確認</t>
  </si>
  <si>
    <t>状態</t>
  </si>
  <si>
    <t>部署名</t>
  </si>
  <si>
    <t>会社</t>
  </si>
  <si>
    <t>EB_CLIENT</t>
  </si>
  <si>
    <t>実施中案件あり会社</t>
  </si>
  <si>
    <t>提案中案件あり会社</t>
  </si>
  <si>
    <t>EB_MEMBER</t>
  </si>
  <si>
    <t>社員ID</t>
  </si>
  <si>
    <t>名前</t>
  </si>
  <si>
    <t>メールアドレス</t>
  </si>
  <si>
    <t>電話番号</t>
  </si>
  <si>
    <t>部署</t>
  </si>
  <si>
    <t>営業員</t>
  </si>
  <si>
    <t>EB_PROJECT</t>
  </si>
  <si>
    <t>案件ID</t>
  </si>
  <si>
    <t>案件名称</t>
  </si>
  <si>
    <t>開始日</t>
  </si>
  <si>
    <t>終了日</t>
  </si>
  <si>
    <t>ステータス</t>
  </si>
  <si>
    <t>案件責任者</t>
  </si>
  <si>
    <t>案件連絡者</t>
  </si>
  <si>
    <t>EB_PROJECTMEMBER</t>
  </si>
  <si>
    <t>単価</t>
  </si>
  <si>
    <t>EB_SALESPERSON</t>
  </si>
  <si>
    <t>EB_CLIENTMEMBER</t>
    <phoneticPr fontId="1"/>
  </si>
  <si>
    <t>所属会社</t>
  </si>
  <si>
    <t>S0001</t>
    <phoneticPr fontId="1"/>
  </si>
  <si>
    <t>S0002</t>
  </si>
  <si>
    <t>S0003</t>
  </si>
  <si>
    <t>S0004</t>
  </si>
  <si>
    <t>配下全員稼働中</t>
    <rPh sb="0" eb="2">
      <t>ハイカ</t>
    </rPh>
    <rPh sb="2" eb="4">
      <t>ゼンイン</t>
    </rPh>
    <rPh sb="4" eb="6">
      <t>カドウ</t>
    </rPh>
    <rPh sb="6" eb="7">
      <t>チュウ</t>
    </rPh>
    <phoneticPr fontId="1"/>
  </si>
  <si>
    <t>07012345678</t>
  </si>
  <si>
    <t>07012345678</t>
    <phoneticPr fontId="1"/>
  </si>
  <si>
    <t>配下待機あり</t>
    <rPh sb="0" eb="2">
      <t>ハイカ</t>
    </rPh>
    <rPh sb="2" eb="4">
      <t>タイキ</t>
    </rPh>
    <phoneticPr fontId="1"/>
  </si>
  <si>
    <t>配下提案あり</t>
    <rPh sb="0" eb="2">
      <t>ハイカ</t>
    </rPh>
    <rPh sb="2" eb="4">
      <t>テイアン</t>
    </rPh>
    <phoneticPr fontId="1"/>
  </si>
  <si>
    <t>配下なし</t>
    <rPh sb="0" eb="2">
      <t>ハイカ</t>
    </rPh>
    <phoneticPr fontId="1"/>
  </si>
  <si>
    <t>E0001</t>
    <phoneticPr fontId="1"/>
  </si>
  <si>
    <t>E0002</t>
  </si>
  <si>
    <t>E0003</t>
  </si>
  <si>
    <t>E0004</t>
  </si>
  <si>
    <t>E0005</t>
  </si>
  <si>
    <t>E0006</t>
  </si>
  <si>
    <t>E0007</t>
  </si>
  <si>
    <t>E0008</t>
  </si>
  <si>
    <t>E0009</t>
  </si>
  <si>
    <t>E0010</t>
  </si>
  <si>
    <t>E0011</t>
  </si>
  <si>
    <t>E0012</t>
  </si>
  <si>
    <t>E0013</t>
  </si>
  <si>
    <t>E0014</t>
  </si>
  <si>
    <t>E0015</t>
  </si>
  <si>
    <t>E0016</t>
  </si>
  <si>
    <t>E0017</t>
  </si>
  <si>
    <t>E0018</t>
  </si>
  <si>
    <t>E0019</t>
  </si>
  <si>
    <t>E0020</t>
  </si>
  <si>
    <t>E0021</t>
  </si>
  <si>
    <t>E0022</t>
  </si>
  <si>
    <t>E0023</t>
  </si>
  <si>
    <t>E0024</t>
  </si>
  <si>
    <t>E0025</t>
  </si>
  <si>
    <t>E0026</t>
  </si>
  <si>
    <t>E0027</t>
  </si>
  <si>
    <t>E0028</t>
  </si>
  <si>
    <t>E0029</t>
  </si>
  <si>
    <t>E0030</t>
  </si>
  <si>
    <t>E0031</t>
  </si>
  <si>
    <t>E0032</t>
  </si>
  <si>
    <t>E0033</t>
  </si>
  <si>
    <t>E0034</t>
  </si>
  <si>
    <t>E0035</t>
  </si>
  <si>
    <t>E0036</t>
  </si>
  <si>
    <t>E0037</t>
  </si>
  <si>
    <t>E0038</t>
  </si>
  <si>
    <t>E0039</t>
  </si>
  <si>
    <t>E0040</t>
  </si>
  <si>
    <t>E0041</t>
  </si>
  <si>
    <t>E0042</t>
  </si>
  <si>
    <t>E0043</t>
  </si>
  <si>
    <t>E0044</t>
  </si>
  <si>
    <t>E0045</t>
  </si>
  <si>
    <t>E0046</t>
  </si>
  <si>
    <t>E0047</t>
  </si>
  <si>
    <t>E0048</t>
  </si>
  <si>
    <t>E0049</t>
  </si>
  <si>
    <t>E0050</t>
  </si>
  <si>
    <t>E0051</t>
  </si>
  <si>
    <t>E0052</t>
  </si>
  <si>
    <t>E0053</t>
  </si>
  <si>
    <t>E0054</t>
  </si>
  <si>
    <t>E0055</t>
  </si>
  <si>
    <t>E0056</t>
  </si>
  <si>
    <t>E0057</t>
  </si>
  <si>
    <t>E0058</t>
  </si>
  <si>
    <t>E0059</t>
  </si>
  <si>
    <t>E0060</t>
  </si>
  <si>
    <t>E0061</t>
  </si>
  <si>
    <t>E0062</t>
  </si>
  <si>
    <t>E0063</t>
  </si>
  <si>
    <t>E0064</t>
  </si>
  <si>
    <t>E0065</t>
  </si>
  <si>
    <t>E0066</t>
  </si>
  <si>
    <t>E0067</t>
  </si>
  <si>
    <t>E0068</t>
  </si>
  <si>
    <t>E0069</t>
  </si>
  <si>
    <t>E0070</t>
  </si>
  <si>
    <t>E0071</t>
  </si>
  <si>
    <t>E0072</t>
  </si>
  <si>
    <t>E0073</t>
  </si>
  <si>
    <t>E0074</t>
  </si>
  <si>
    <t>E0075</t>
  </si>
  <si>
    <t>E0076</t>
  </si>
  <si>
    <t>E0077</t>
  </si>
  <si>
    <t>E0078</t>
  </si>
  <si>
    <t>E0079</t>
  </si>
  <si>
    <t>E0080</t>
  </si>
  <si>
    <t>E0081</t>
  </si>
  <si>
    <t>E0082</t>
  </si>
  <si>
    <t>E0083</t>
  </si>
  <si>
    <t>E0084</t>
  </si>
  <si>
    <t>E0085</t>
  </si>
  <si>
    <t>E0086</t>
  </si>
  <si>
    <t>E0087</t>
  </si>
  <si>
    <t>E0088</t>
  </si>
  <si>
    <t>E0089</t>
  </si>
  <si>
    <t>E0090</t>
  </si>
  <si>
    <t>E0091</t>
  </si>
  <si>
    <t>E0092</t>
  </si>
  <si>
    <t>E0093</t>
  </si>
  <si>
    <t>E0094</t>
  </si>
  <si>
    <t>E0095</t>
  </si>
  <si>
    <t>E0096</t>
  </si>
  <si>
    <t>E0097</t>
  </si>
  <si>
    <t>E0098</t>
  </si>
  <si>
    <t>E0099</t>
  </si>
  <si>
    <t>E0100</t>
  </si>
  <si>
    <t>E0101</t>
  </si>
  <si>
    <t>E0102</t>
  </si>
  <si>
    <t>E0103</t>
  </si>
  <si>
    <t>E0104</t>
  </si>
  <si>
    <t>E0105</t>
  </si>
  <si>
    <t>E0106</t>
  </si>
  <si>
    <t>E0107</t>
  </si>
  <si>
    <t>E0108</t>
  </si>
  <si>
    <t>E0109</t>
  </si>
  <si>
    <t>E0110</t>
  </si>
  <si>
    <t>E0111</t>
  </si>
  <si>
    <t>E0112</t>
  </si>
  <si>
    <t>E0113</t>
  </si>
  <si>
    <t>E0114</t>
  </si>
  <si>
    <t>E0115</t>
  </si>
  <si>
    <t>E0116</t>
  </si>
  <si>
    <t>E0117</t>
  </si>
  <si>
    <t>E0118</t>
  </si>
  <si>
    <t>E0119</t>
  </si>
  <si>
    <t>E0120</t>
  </si>
  <si>
    <t>E0121</t>
  </si>
  <si>
    <t>E0122</t>
  </si>
  <si>
    <t>E0123</t>
  </si>
  <si>
    <t>E0124</t>
  </si>
  <si>
    <t>E0125</t>
  </si>
  <si>
    <t>E0126</t>
  </si>
  <si>
    <t>E0127</t>
  </si>
  <si>
    <t>E0128</t>
  </si>
  <si>
    <t>E0129</t>
  </si>
  <si>
    <t>E0130</t>
  </si>
  <si>
    <t>E0131</t>
  </si>
  <si>
    <t>E0132</t>
  </si>
  <si>
    <t>E0133</t>
  </si>
  <si>
    <t>E0134</t>
  </si>
  <si>
    <t>E0135</t>
  </si>
  <si>
    <t>E0136</t>
  </si>
  <si>
    <t>E0137</t>
  </si>
  <si>
    <t>E0138</t>
  </si>
  <si>
    <t>E0139</t>
  </si>
  <si>
    <t>E0140</t>
  </si>
  <si>
    <t>E0141</t>
  </si>
  <si>
    <t>E0142</t>
  </si>
  <si>
    <t>E0143</t>
  </si>
  <si>
    <t>E0144</t>
  </si>
  <si>
    <t>E0145</t>
  </si>
  <si>
    <t>E0146</t>
  </si>
  <si>
    <t>E0147</t>
  </si>
  <si>
    <t>E0148</t>
  </si>
  <si>
    <t>E0149</t>
  </si>
  <si>
    <t>E0150</t>
  </si>
  <si>
    <t>E0151</t>
  </si>
  <si>
    <t>E0152</t>
  </si>
  <si>
    <t>E0153</t>
  </si>
  <si>
    <t>E0154</t>
  </si>
  <si>
    <t>E0155</t>
  </si>
  <si>
    <t>E0156</t>
  </si>
  <si>
    <t>E0157</t>
  </si>
  <si>
    <t>E0158</t>
  </si>
  <si>
    <t>E0159</t>
  </si>
  <si>
    <t>E0160</t>
  </si>
  <si>
    <t>E0161</t>
  </si>
  <si>
    <t>E0162</t>
  </si>
  <si>
    <t>E0163</t>
  </si>
  <si>
    <t>E0164</t>
  </si>
  <si>
    <t>E0165</t>
  </si>
  <si>
    <t>E0166</t>
  </si>
  <si>
    <t>E0167</t>
  </si>
  <si>
    <t>E0168</t>
  </si>
  <si>
    <t>E0169</t>
  </si>
  <si>
    <t>E0170</t>
  </si>
  <si>
    <t>E0171</t>
  </si>
  <si>
    <t>E0172</t>
  </si>
  <si>
    <t>E0173</t>
  </si>
  <si>
    <t>E0174</t>
  </si>
  <si>
    <t>E0175</t>
  </si>
  <si>
    <t>E0176</t>
  </si>
  <si>
    <t>E0177</t>
  </si>
  <si>
    <t>E0178</t>
  </si>
  <si>
    <t>E0179</t>
  </si>
  <si>
    <t>E0180</t>
  </si>
  <si>
    <t>E0181</t>
  </si>
  <si>
    <t>E0182</t>
  </si>
  <si>
    <t>E0183</t>
  </si>
  <si>
    <t>E0184</t>
  </si>
  <si>
    <t>E0185</t>
  </si>
  <si>
    <t>E0186</t>
  </si>
  <si>
    <t>E0187</t>
  </si>
  <si>
    <t>E0188</t>
  </si>
  <si>
    <t>E0189</t>
  </si>
  <si>
    <t>E0190</t>
  </si>
  <si>
    <t>E0191</t>
  </si>
  <si>
    <t>E0192</t>
  </si>
  <si>
    <t>E0193</t>
  </si>
  <si>
    <t>E0194</t>
  </si>
  <si>
    <t>E0195</t>
  </si>
  <si>
    <t>E0196</t>
  </si>
  <si>
    <t>E0197</t>
  </si>
  <si>
    <t>E0198</t>
  </si>
  <si>
    <t>E0199</t>
  </si>
  <si>
    <t>E0200</t>
  </si>
  <si>
    <t>E0201</t>
  </si>
  <si>
    <t>E0202</t>
  </si>
  <si>
    <t>E0203</t>
  </si>
  <si>
    <t>E0204</t>
  </si>
  <si>
    <t>E0205</t>
  </si>
  <si>
    <t>E0206</t>
  </si>
  <si>
    <t>E0207</t>
  </si>
  <si>
    <t>E0208</t>
  </si>
  <si>
    <t>E0209</t>
  </si>
  <si>
    <t>E0210</t>
  </si>
  <si>
    <t>E0211</t>
  </si>
  <si>
    <t>E0212</t>
  </si>
  <si>
    <t>E0213</t>
  </si>
  <si>
    <t>E0214</t>
  </si>
  <si>
    <t>E0215</t>
  </si>
  <si>
    <t>E0216</t>
  </si>
  <si>
    <t>E0217</t>
  </si>
  <si>
    <t>E0218</t>
  </si>
  <si>
    <t>E0219</t>
  </si>
  <si>
    <t>E0220</t>
  </si>
  <si>
    <t>E0221</t>
  </si>
  <si>
    <t>E0222</t>
  </si>
  <si>
    <t>E0223</t>
  </si>
  <si>
    <t>E0224</t>
  </si>
  <si>
    <t>E0225</t>
  </si>
  <si>
    <t>E0226</t>
  </si>
  <si>
    <t>E0227</t>
  </si>
  <si>
    <t>E0228</t>
  </si>
  <si>
    <t>E0229</t>
  </si>
  <si>
    <t>E0230</t>
  </si>
  <si>
    <t>E0231</t>
  </si>
  <si>
    <t>E0232</t>
  </si>
  <si>
    <t>E0233</t>
  </si>
  <si>
    <t>E0234</t>
  </si>
  <si>
    <t>E0235</t>
  </si>
  <si>
    <t>E0236</t>
  </si>
  <si>
    <t>E0237</t>
  </si>
  <si>
    <t>E0238</t>
  </si>
  <si>
    <t>E0239</t>
  </si>
  <si>
    <t>E0240</t>
  </si>
  <si>
    <t>E0241</t>
  </si>
  <si>
    <t>E0242</t>
  </si>
  <si>
    <t>E0243</t>
  </si>
  <si>
    <t>E0244</t>
  </si>
  <si>
    <t>E0245</t>
  </si>
  <si>
    <t>E0246</t>
  </si>
  <si>
    <t>E0247</t>
  </si>
  <si>
    <t>E0248</t>
  </si>
  <si>
    <t>E0249</t>
  </si>
  <si>
    <t>E0250</t>
  </si>
  <si>
    <t>E0251</t>
  </si>
  <si>
    <t>E0252</t>
  </si>
  <si>
    <t>E0253</t>
  </si>
  <si>
    <t>E0254</t>
  </si>
  <si>
    <t>E0255</t>
  </si>
  <si>
    <t>E0256</t>
  </si>
  <si>
    <t>E0257</t>
  </si>
  <si>
    <t>E0258</t>
  </si>
  <si>
    <t>E0259</t>
  </si>
  <si>
    <t>E0260</t>
  </si>
  <si>
    <t>E0261</t>
  </si>
  <si>
    <t>E0262</t>
  </si>
  <si>
    <t>E0263</t>
  </si>
  <si>
    <t>E0264</t>
  </si>
  <si>
    <t>E0265</t>
  </si>
  <si>
    <t>E0266</t>
  </si>
  <si>
    <t>E0267</t>
  </si>
  <si>
    <t>E0268</t>
  </si>
  <si>
    <t>E0269</t>
  </si>
  <si>
    <t>E0270</t>
  </si>
  <si>
    <t>E0271</t>
  </si>
  <si>
    <t>E0272</t>
  </si>
  <si>
    <t>E0273</t>
  </si>
  <si>
    <t>E0274</t>
  </si>
  <si>
    <t>E0275</t>
  </si>
  <si>
    <t>E0276</t>
  </si>
  <si>
    <t>E0277</t>
  </si>
  <si>
    <t>E0278</t>
  </si>
  <si>
    <t>E0279</t>
  </si>
  <si>
    <t>E0280</t>
  </si>
  <si>
    <t>E0281</t>
  </si>
  <si>
    <t>E0282</t>
  </si>
  <si>
    <t>E0283</t>
  </si>
  <si>
    <t>E0284</t>
  </si>
  <si>
    <t>E0285</t>
  </si>
  <si>
    <t>E0286</t>
  </si>
  <si>
    <t>E0287</t>
  </si>
  <si>
    <t>E0288</t>
  </si>
  <si>
    <t>E0289</t>
  </si>
  <si>
    <t>E0290</t>
  </si>
  <si>
    <t>E0291</t>
  </si>
  <si>
    <t>E0292</t>
  </si>
  <si>
    <t>E0293</t>
  </si>
  <si>
    <t>E0294</t>
  </si>
  <si>
    <t>E0295</t>
  </si>
  <si>
    <t>E0296</t>
  </si>
  <si>
    <t>E0297</t>
  </si>
  <si>
    <t>E0298</t>
  </si>
  <si>
    <t>E0299</t>
  </si>
  <si>
    <t>E0300</t>
  </si>
  <si>
    <t>E0301</t>
  </si>
  <si>
    <t>ずっと待機１</t>
    <rPh sb="3" eb="5">
      <t>タイキ</t>
    </rPh>
    <phoneticPr fontId="1"/>
  </si>
  <si>
    <t>ずっと待機２</t>
    <rPh sb="3" eb="5">
      <t>タイキ</t>
    </rPh>
    <phoneticPr fontId="1"/>
  </si>
  <si>
    <t>ずっと待機３</t>
    <rPh sb="3" eb="5">
      <t>タイキ</t>
    </rPh>
    <phoneticPr fontId="1"/>
  </si>
  <si>
    <t>ずっと待機４</t>
    <rPh sb="3" eb="5">
      <t>タイキ</t>
    </rPh>
    <phoneticPr fontId="1"/>
  </si>
  <si>
    <t>ずっと待機５</t>
    <rPh sb="3" eb="5">
      <t>タイキ</t>
    </rPh>
    <phoneticPr fontId="1"/>
  </si>
  <si>
    <t>ずっと待機６</t>
    <rPh sb="3" eb="5">
      <t>タイキ</t>
    </rPh>
    <phoneticPr fontId="1"/>
  </si>
  <si>
    <t>ずっと待機７</t>
    <rPh sb="3" eb="5">
      <t>タイキ</t>
    </rPh>
    <phoneticPr fontId="1"/>
  </si>
  <si>
    <t>ずっと待機８</t>
    <rPh sb="3" eb="5">
      <t>タイキ</t>
    </rPh>
    <phoneticPr fontId="1"/>
  </si>
  <si>
    <t>ずっと待機９</t>
    <rPh sb="3" eb="5">
      <t>タイキ</t>
    </rPh>
    <phoneticPr fontId="1"/>
  </si>
  <si>
    <t>ずっと待機１０</t>
    <rPh sb="3" eb="5">
      <t>タイキ</t>
    </rPh>
    <phoneticPr fontId="1"/>
  </si>
  <si>
    <t>ずっと待機１１</t>
    <rPh sb="3" eb="5">
      <t>タイキ</t>
    </rPh>
    <phoneticPr fontId="1"/>
  </si>
  <si>
    <t>ずっと待機１２</t>
    <rPh sb="3" eb="5">
      <t>タイキ</t>
    </rPh>
    <phoneticPr fontId="1"/>
  </si>
  <si>
    <t>ずっと待機１３</t>
    <rPh sb="3" eb="5">
      <t>タイキ</t>
    </rPh>
    <phoneticPr fontId="1"/>
  </si>
  <si>
    <t>ずっと待機１４</t>
    <rPh sb="3" eb="5">
      <t>タイキ</t>
    </rPh>
    <phoneticPr fontId="1"/>
  </si>
  <si>
    <t>ずっと待機１５</t>
    <rPh sb="3" eb="5">
      <t>タイキ</t>
    </rPh>
    <phoneticPr fontId="1"/>
  </si>
  <si>
    <t>ずっと待機１６</t>
    <rPh sb="3" eb="5">
      <t>タイキ</t>
    </rPh>
    <phoneticPr fontId="1"/>
  </si>
  <si>
    <t>ずっと待機１７</t>
    <rPh sb="3" eb="5">
      <t>タイキ</t>
    </rPh>
    <phoneticPr fontId="1"/>
  </si>
  <si>
    <t>ずっと待機１８</t>
    <rPh sb="3" eb="5">
      <t>タイキ</t>
    </rPh>
    <phoneticPr fontId="1"/>
  </si>
  <si>
    <t>ずっと待機１９</t>
    <rPh sb="3" eb="5">
      <t>タイキ</t>
    </rPh>
    <phoneticPr fontId="1"/>
  </si>
  <si>
    <t>ずっと待機２０</t>
    <rPh sb="3" eb="5">
      <t>タイキ</t>
    </rPh>
    <phoneticPr fontId="1"/>
  </si>
  <si>
    <t>ずっと待機２１</t>
    <rPh sb="3" eb="5">
      <t>タイキ</t>
    </rPh>
    <phoneticPr fontId="1"/>
  </si>
  <si>
    <t>ずっと待機２２</t>
    <rPh sb="3" eb="5">
      <t>タイキ</t>
    </rPh>
    <phoneticPr fontId="1"/>
  </si>
  <si>
    <t>ずっと待機２３</t>
    <rPh sb="3" eb="5">
      <t>タイキ</t>
    </rPh>
    <phoneticPr fontId="1"/>
  </si>
  <si>
    <t>ずっと待機２４</t>
    <rPh sb="3" eb="5">
      <t>タイキ</t>
    </rPh>
    <phoneticPr fontId="1"/>
  </si>
  <si>
    <t>ずっと待機２５</t>
    <rPh sb="3" eb="5">
      <t>タイキ</t>
    </rPh>
    <phoneticPr fontId="1"/>
  </si>
  <si>
    <t>ずっと待機２６</t>
    <rPh sb="3" eb="5">
      <t>タイキ</t>
    </rPh>
    <phoneticPr fontId="1"/>
  </si>
  <si>
    <t>ずっと待機２７</t>
    <rPh sb="3" eb="5">
      <t>タイキ</t>
    </rPh>
    <phoneticPr fontId="1"/>
  </si>
  <si>
    <t>ずっと待機２８</t>
    <rPh sb="3" eb="5">
      <t>タイキ</t>
    </rPh>
    <phoneticPr fontId="1"/>
  </si>
  <si>
    <t>ずっと待機２９</t>
    <rPh sb="3" eb="5">
      <t>タイキ</t>
    </rPh>
    <phoneticPr fontId="1"/>
  </si>
  <si>
    <t>ずっと待機３０</t>
    <rPh sb="3" eb="5">
      <t>タイキ</t>
    </rPh>
    <phoneticPr fontId="1"/>
  </si>
  <si>
    <t>ずっと待機３１</t>
    <rPh sb="3" eb="5">
      <t>タイキ</t>
    </rPh>
    <phoneticPr fontId="1"/>
  </si>
  <si>
    <t>ずっと待機３２</t>
    <rPh sb="3" eb="5">
      <t>タイキ</t>
    </rPh>
    <phoneticPr fontId="1"/>
  </si>
  <si>
    <t>ずっと待機３３</t>
    <rPh sb="3" eb="5">
      <t>タイキ</t>
    </rPh>
    <phoneticPr fontId="1"/>
  </si>
  <si>
    <t>ずっと待機３４</t>
    <rPh sb="3" eb="5">
      <t>タイキ</t>
    </rPh>
    <phoneticPr fontId="1"/>
  </si>
  <si>
    <t>ずっと待機３５</t>
    <rPh sb="3" eb="5">
      <t>タイキ</t>
    </rPh>
    <phoneticPr fontId="1"/>
  </si>
  <si>
    <t>ずっと待機３６</t>
    <rPh sb="3" eb="5">
      <t>タイキ</t>
    </rPh>
    <phoneticPr fontId="1"/>
  </si>
  <si>
    <t>ずっと待機３７</t>
    <rPh sb="3" eb="5">
      <t>タイキ</t>
    </rPh>
    <phoneticPr fontId="1"/>
  </si>
  <si>
    <t>ずっと待機３８</t>
    <rPh sb="3" eb="5">
      <t>タイキ</t>
    </rPh>
    <phoneticPr fontId="1"/>
  </si>
  <si>
    <t>ずっと待機３９</t>
    <rPh sb="3" eb="5">
      <t>タイキ</t>
    </rPh>
    <phoneticPr fontId="1"/>
  </si>
  <si>
    <t>ずっと待機４０</t>
    <rPh sb="3" eb="5">
      <t>タイキ</t>
    </rPh>
    <phoneticPr fontId="1"/>
  </si>
  <si>
    <t>ずっと待機４１</t>
    <rPh sb="3" eb="5">
      <t>タイキ</t>
    </rPh>
    <phoneticPr fontId="1"/>
  </si>
  <si>
    <t>先月待機１</t>
    <rPh sb="0" eb="2">
      <t>センゲツ</t>
    </rPh>
    <rPh sb="2" eb="4">
      <t>タイキ</t>
    </rPh>
    <phoneticPr fontId="1"/>
  </si>
  <si>
    <t>先月待機２</t>
    <rPh sb="0" eb="2">
      <t>センゲツ</t>
    </rPh>
    <rPh sb="2" eb="4">
      <t>タイキ</t>
    </rPh>
    <phoneticPr fontId="1"/>
  </si>
  <si>
    <t>先月待機３</t>
    <rPh sb="0" eb="2">
      <t>センゲツ</t>
    </rPh>
    <rPh sb="2" eb="4">
      <t>タイキ</t>
    </rPh>
    <phoneticPr fontId="1"/>
  </si>
  <si>
    <t>先月待機４</t>
    <rPh sb="0" eb="2">
      <t>センゲツ</t>
    </rPh>
    <rPh sb="2" eb="4">
      <t>タイキ</t>
    </rPh>
    <phoneticPr fontId="1"/>
  </si>
  <si>
    <t>先月待機５</t>
    <rPh sb="0" eb="2">
      <t>センゲツ</t>
    </rPh>
    <rPh sb="2" eb="4">
      <t>タイキ</t>
    </rPh>
    <phoneticPr fontId="1"/>
  </si>
  <si>
    <t>先月待機６</t>
    <rPh sb="0" eb="2">
      <t>センゲツ</t>
    </rPh>
    <rPh sb="2" eb="4">
      <t>タイキ</t>
    </rPh>
    <phoneticPr fontId="1"/>
  </si>
  <si>
    <t>先月待機７</t>
    <rPh sb="0" eb="2">
      <t>センゲツ</t>
    </rPh>
    <rPh sb="2" eb="4">
      <t>タイキ</t>
    </rPh>
    <phoneticPr fontId="1"/>
  </si>
  <si>
    <t>先月待機８</t>
    <rPh sb="0" eb="2">
      <t>センゲツ</t>
    </rPh>
    <rPh sb="2" eb="4">
      <t>タイキ</t>
    </rPh>
    <phoneticPr fontId="1"/>
  </si>
  <si>
    <t>先月待機９</t>
    <rPh sb="0" eb="2">
      <t>センゲツ</t>
    </rPh>
    <rPh sb="2" eb="4">
      <t>タイキ</t>
    </rPh>
    <phoneticPr fontId="1"/>
  </si>
  <si>
    <t>先月待機１０</t>
    <rPh sb="0" eb="2">
      <t>センゲツ</t>
    </rPh>
    <rPh sb="2" eb="4">
      <t>タイキ</t>
    </rPh>
    <phoneticPr fontId="1"/>
  </si>
  <si>
    <t>先月待機１１</t>
    <rPh sb="0" eb="2">
      <t>センゲツ</t>
    </rPh>
    <rPh sb="2" eb="4">
      <t>タイキ</t>
    </rPh>
    <phoneticPr fontId="1"/>
  </si>
  <si>
    <t>先月待機１２</t>
    <rPh sb="0" eb="2">
      <t>センゲツ</t>
    </rPh>
    <rPh sb="2" eb="4">
      <t>タイキ</t>
    </rPh>
    <phoneticPr fontId="1"/>
  </si>
  <si>
    <t>先月待機１３</t>
    <rPh sb="0" eb="2">
      <t>センゲツ</t>
    </rPh>
    <rPh sb="2" eb="4">
      <t>タイキ</t>
    </rPh>
    <phoneticPr fontId="1"/>
  </si>
  <si>
    <t>先月待機１４</t>
    <rPh sb="0" eb="2">
      <t>センゲツ</t>
    </rPh>
    <rPh sb="2" eb="4">
      <t>タイキ</t>
    </rPh>
    <phoneticPr fontId="1"/>
  </si>
  <si>
    <t>先月待機１５</t>
    <rPh sb="0" eb="2">
      <t>センゲツ</t>
    </rPh>
    <rPh sb="2" eb="4">
      <t>タイキ</t>
    </rPh>
    <phoneticPr fontId="1"/>
  </si>
  <si>
    <t>先月待機１６</t>
    <rPh sb="0" eb="2">
      <t>センゲツ</t>
    </rPh>
    <rPh sb="2" eb="4">
      <t>タイキ</t>
    </rPh>
    <phoneticPr fontId="1"/>
  </si>
  <si>
    <t>先月待機１７</t>
    <rPh sb="0" eb="2">
      <t>センゲツ</t>
    </rPh>
    <rPh sb="2" eb="4">
      <t>タイキ</t>
    </rPh>
    <phoneticPr fontId="1"/>
  </si>
  <si>
    <t>先月待機１８</t>
    <rPh sb="0" eb="2">
      <t>センゲツ</t>
    </rPh>
    <rPh sb="2" eb="4">
      <t>タイキ</t>
    </rPh>
    <phoneticPr fontId="1"/>
  </si>
  <si>
    <t>先月待機１９</t>
    <rPh sb="0" eb="2">
      <t>センゲツ</t>
    </rPh>
    <rPh sb="2" eb="4">
      <t>タイキ</t>
    </rPh>
    <phoneticPr fontId="1"/>
  </si>
  <si>
    <t>先月待機２０</t>
    <rPh sb="0" eb="2">
      <t>センゲツ</t>
    </rPh>
    <rPh sb="2" eb="4">
      <t>タイキ</t>
    </rPh>
    <phoneticPr fontId="1"/>
  </si>
  <si>
    <t>先月待機２１</t>
    <rPh sb="0" eb="2">
      <t>センゲツ</t>
    </rPh>
    <rPh sb="2" eb="4">
      <t>タイキ</t>
    </rPh>
    <phoneticPr fontId="1"/>
  </si>
  <si>
    <t>２が月前待機１</t>
    <rPh sb="2" eb="3">
      <t>ゲツ</t>
    </rPh>
    <rPh sb="3" eb="4">
      <t>マエ</t>
    </rPh>
    <rPh sb="4" eb="6">
      <t>タイキ</t>
    </rPh>
    <phoneticPr fontId="1"/>
  </si>
  <si>
    <t>２が月前待機２</t>
    <rPh sb="2" eb="3">
      <t>ゲツ</t>
    </rPh>
    <rPh sb="3" eb="4">
      <t>マエ</t>
    </rPh>
    <rPh sb="4" eb="6">
      <t>タイキ</t>
    </rPh>
    <phoneticPr fontId="1"/>
  </si>
  <si>
    <t>２が月前待機３</t>
    <rPh sb="2" eb="3">
      <t>ゲツ</t>
    </rPh>
    <rPh sb="3" eb="4">
      <t>マエ</t>
    </rPh>
    <rPh sb="4" eb="6">
      <t>タイキ</t>
    </rPh>
    <phoneticPr fontId="1"/>
  </si>
  <si>
    <t>２が月前待機４</t>
    <rPh sb="2" eb="3">
      <t>ゲツ</t>
    </rPh>
    <rPh sb="3" eb="4">
      <t>マエ</t>
    </rPh>
    <rPh sb="4" eb="6">
      <t>タイキ</t>
    </rPh>
    <phoneticPr fontId="1"/>
  </si>
  <si>
    <t>２が月前待機５</t>
    <rPh sb="2" eb="3">
      <t>ゲツ</t>
    </rPh>
    <rPh sb="3" eb="4">
      <t>マエ</t>
    </rPh>
    <rPh sb="4" eb="6">
      <t>タイキ</t>
    </rPh>
    <phoneticPr fontId="1"/>
  </si>
  <si>
    <t>２が月前待機６</t>
    <rPh sb="2" eb="3">
      <t>ゲツ</t>
    </rPh>
    <rPh sb="3" eb="4">
      <t>マエ</t>
    </rPh>
    <rPh sb="4" eb="6">
      <t>タイキ</t>
    </rPh>
    <phoneticPr fontId="1"/>
  </si>
  <si>
    <t>２が月前待機７</t>
    <rPh sb="2" eb="3">
      <t>ゲツ</t>
    </rPh>
    <rPh sb="3" eb="4">
      <t>マエ</t>
    </rPh>
    <rPh sb="4" eb="6">
      <t>タイキ</t>
    </rPh>
    <phoneticPr fontId="1"/>
  </si>
  <si>
    <t>２が月前待機８</t>
    <rPh sb="2" eb="3">
      <t>ゲツ</t>
    </rPh>
    <rPh sb="3" eb="4">
      <t>マエ</t>
    </rPh>
    <rPh sb="4" eb="6">
      <t>タイキ</t>
    </rPh>
    <phoneticPr fontId="1"/>
  </si>
  <si>
    <t>２が月前待機９</t>
    <rPh sb="2" eb="3">
      <t>ゲツ</t>
    </rPh>
    <rPh sb="3" eb="4">
      <t>マエ</t>
    </rPh>
    <rPh sb="4" eb="6">
      <t>タイキ</t>
    </rPh>
    <phoneticPr fontId="1"/>
  </si>
  <si>
    <t>２が月前待機１０</t>
    <rPh sb="2" eb="3">
      <t>ゲツ</t>
    </rPh>
    <rPh sb="3" eb="4">
      <t>マエ</t>
    </rPh>
    <rPh sb="4" eb="6">
      <t>タイキ</t>
    </rPh>
    <phoneticPr fontId="1"/>
  </si>
  <si>
    <t>２が月前待機１１</t>
    <rPh sb="2" eb="3">
      <t>ゲツ</t>
    </rPh>
    <rPh sb="3" eb="4">
      <t>マエ</t>
    </rPh>
    <rPh sb="4" eb="6">
      <t>タイキ</t>
    </rPh>
    <phoneticPr fontId="1"/>
  </si>
  <si>
    <t>２が月前待機１２</t>
    <rPh sb="2" eb="3">
      <t>ゲツ</t>
    </rPh>
    <rPh sb="3" eb="4">
      <t>マエ</t>
    </rPh>
    <rPh sb="4" eb="6">
      <t>タイキ</t>
    </rPh>
    <phoneticPr fontId="1"/>
  </si>
  <si>
    <t>２が月前待機１３</t>
    <rPh sb="2" eb="3">
      <t>ゲツ</t>
    </rPh>
    <rPh sb="3" eb="4">
      <t>マエ</t>
    </rPh>
    <rPh sb="4" eb="6">
      <t>タイキ</t>
    </rPh>
    <phoneticPr fontId="1"/>
  </si>
  <si>
    <t>２が月前待機１４</t>
    <rPh sb="2" eb="3">
      <t>ゲツ</t>
    </rPh>
    <rPh sb="3" eb="4">
      <t>マエ</t>
    </rPh>
    <rPh sb="4" eb="6">
      <t>タイキ</t>
    </rPh>
    <phoneticPr fontId="1"/>
  </si>
  <si>
    <t>２が月前待機１５</t>
    <rPh sb="2" eb="3">
      <t>ゲツ</t>
    </rPh>
    <rPh sb="3" eb="4">
      <t>マエ</t>
    </rPh>
    <rPh sb="4" eb="6">
      <t>タイキ</t>
    </rPh>
    <phoneticPr fontId="1"/>
  </si>
  <si>
    <t>２が月前待機１６</t>
    <rPh sb="2" eb="3">
      <t>ゲツ</t>
    </rPh>
    <rPh sb="3" eb="4">
      <t>マエ</t>
    </rPh>
    <rPh sb="4" eb="6">
      <t>タイキ</t>
    </rPh>
    <phoneticPr fontId="1"/>
  </si>
  <si>
    <t>２が月前待機１７</t>
    <rPh sb="2" eb="3">
      <t>ゲツ</t>
    </rPh>
    <rPh sb="3" eb="4">
      <t>マエ</t>
    </rPh>
    <rPh sb="4" eb="6">
      <t>タイキ</t>
    </rPh>
    <phoneticPr fontId="1"/>
  </si>
  <si>
    <t>２が月前待機１８</t>
    <rPh sb="2" eb="3">
      <t>ゲツ</t>
    </rPh>
    <rPh sb="3" eb="4">
      <t>マエ</t>
    </rPh>
    <rPh sb="4" eb="6">
      <t>タイキ</t>
    </rPh>
    <phoneticPr fontId="1"/>
  </si>
  <si>
    <t>２が月前待機１９</t>
    <rPh sb="2" eb="3">
      <t>ゲツ</t>
    </rPh>
    <rPh sb="3" eb="4">
      <t>マエ</t>
    </rPh>
    <rPh sb="4" eb="6">
      <t>タイキ</t>
    </rPh>
    <phoneticPr fontId="1"/>
  </si>
  <si>
    <t>２が月前待機２０</t>
    <rPh sb="2" eb="3">
      <t>ゲツ</t>
    </rPh>
    <rPh sb="3" eb="4">
      <t>マエ</t>
    </rPh>
    <rPh sb="4" eb="6">
      <t>タイキ</t>
    </rPh>
    <phoneticPr fontId="1"/>
  </si>
  <si>
    <t>２が月前待機２１</t>
    <rPh sb="2" eb="3">
      <t>ゲツ</t>
    </rPh>
    <rPh sb="3" eb="4">
      <t>マエ</t>
    </rPh>
    <rPh sb="4" eb="6">
      <t>タイキ</t>
    </rPh>
    <phoneticPr fontId="1"/>
  </si>
  <si>
    <t>今月まで稼働１</t>
    <rPh sb="0" eb="2">
      <t>コンゲツ</t>
    </rPh>
    <rPh sb="4" eb="6">
      <t>カドウ</t>
    </rPh>
    <phoneticPr fontId="1"/>
  </si>
  <si>
    <t>今月まで稼働２</t>
    <rPh sb="0" eb="2">
      <t>コンゲツ</t>
    </rPh>
    <rPh sb="4" eb="6">
      <t>カドウ</t>
    </rPh>
    <phoneticPr fontId="1"/>
  </si>
  <si>
    <t>今月まで稼働３</t>
    <rPh sb="0" eb="2">
      <t>コンゲツ</t>
    </rPh>
    <rPh sb="4" eb="6">
      <t>カドウ</t>
    </rPh>
    <phoneticPr fontId="1"/>
  </si>
  <si>
    <t>今月まで稼働４</t>
    <rPh sb="0" eb="2">
      <t>コンゲツ</t>
    </rPh>
    <rPh sb="4" eb="6">
      <t>カドウ</t>
    </rPh>
    <phoneticPr fontId="1"/>
  </si>
  <si>
    <t>今月まで稼働５</t>
    <rPh sb="0" eb="2">
      <t>コンゲツ</t>
    </rPh>
    <rPh sb="4" eb="6">
      <t>カドウ</t>
    </rPh>
    <phoneticPr fontId="1"/>
  </si>
  <si>
    <t>今月まで稼働６</t>
    <rPh sb="0" eb="2">
      <t>コンゲツ</t>
    </rPh>
    <rPh sb="4" eb="6">
      <t>カドウ</t>
    </rPh>
    <phoneticPr fontId="1"/>
  </si>
  <si>
    <t>今月まで稼働７</t>
    <rPh sb="0" eb="2">
      <t>コンゲツ</t>
    </rPh>
    <rPh sb="4" eb="6">
      <t>カドウ</t>
    </rPh>
    <phoneticPr fontId="1"/>
  </si>
  <si>
    <t>今月まで稼働８</t>
    <rPh sb="0" eb="2">
      <t>コンゲツ</t>
    </rPh>
    <rPh sb="4" eb="6">
      <t>カドウ</t>
    </rPh>
    <phoneticPr fontId="1"/>
  </si>
  <si>
    <t>今月まで稼働９</t>
    <rPh sb="0" eb="2">
      <t>コンゲツ</t>
    </rPh>
    <rPh sb="4" eb="6">
      <t>カドウ</t>
    </rPh>
    <phoneticPr fontId="1"/>
  </si>
  <si>
    <t>今月まで稼働１０</t>
    <rPh sb="0" eb="2">
      <t>コンゲツ</t>
    </rPh>
    <rPh sb="4" eb="6">
      <t>カドウ</t>
    </rPh>
    <phoneticPr fontId="1"/>
  </si>
  <si>
    <t>今月まで稼働１１</t>
    <rPh sb="0" eb="2">
      <t>コンゲツ</t>
    </rPh>
    <rPh sb="4" eb="6">
      <t>カドウ</t>
    </rPh>
    <phoneticPr fontId="1"/>
  </si>
  <si>
    <t>今月まで稼働１２</t>
    <rPh sb="0" eb="2">
      <t>コンゲツ</t>
    </rPh>
    <rPh sb="4" eb="6">
      <t>カドウ</t>
    </rPh>
    <phoneticPr fontId="1"/>
  </si>
  <si>
    <t>今月まで稼働１３</t>
    <rPh sb="0" eb="2">
      <t>コンゲツ</t>
    </rPh>
    <rPh sb="4" eb="6">
      <t>カドウ</t>
    </rPh>
    <phoneticPr fontId="1"/>
  </si>
  <si>
    <t>今月まで稼働１４</t>
    <rPh sb="0" eb="2">
      <t>コンゲツ</t>
    </rPh>
    <rPh sb="4" eb="6">
      <t>カドウ</t>
    </rPh>
    <phoneticPr fontId="1"/>
  </si>
  <si>
    <t>今月まで稼働１５</t>
    <rPh sb="0" eb="2">
      <t>コンゲツ</t>
    </rPh>
    <rPh sb="4" eb="6">
      <t>カドウ</t>
    </rPh>
    <phoneticPr fontId="1"/>
  </si>
  <si>
    <t>今月まで稼働１６</t>
    <rPh sb="0" eb="2">
      <t>コンゲツ</t>
    </rPh>
    <rPh sb="4" eb="6">
      <t>カドウ</t>
    </rPh>
    <phoneticPr fontId="1"/>
  </si>
  <si>
    <t>今月まで稼働１７</t>
    <rPh sb="0" eb="2">
      <t>コンゲツ</t>
    </rPh>
    <rPh sb="4" eb="6">
      <t>カドウ</t>
    </rPh>
    <phoneticPr fontId="1"/>
  </si>
  <si>
    <t>今月まで稼働１８</t>
    <rPh sb="0" eb="2">
      <t>コンゲツ</t>
    </rPh>
    <rPh sb="4" eb="6">
      <t>カドウ</t>
    </rPh>
    <phoneticPr fontId="1"/>
  </si>
  <si>
    <t>今月まで稼働１９</t>
    <rPh sb="0" eb="2">
      <t>コンゲツ</t>
    </rPh>
    <rPh sb="4" eb="6">
      <t>カドウ</t>
    </rPh>
    <phoneticPr fontId="1"/>
  </si>
  <si>
    <t>今月まで稼働２０</t>
    <rPh sb="0" eb="2">
      <t>コンゲツ</t>
    </rPh>
    <rPh sb="4" eb="6">
      <t>カドウ</t>
    </rPh>
    <phoneticPr fontId="1"/>
  </si>
  <si>
    <t>今月まで稼働２１</t>
    <rPh sb="0" eb="2">
      <t>コンゲツ</t>
    </rPh>
    <rPh sb="4" eb="6">
      <t>カドウ</t>
    </rPh>
    <phoneticPr fontId="1"/>
  </si>
  <si>
    <t>今月まで稼働２２</t>
    <rPh sb="0" eb="2">
      <t>コンゲツ</t>
    </rPh>
    <rPh sb="4" eb="6">
      <t>カドウ</t>
    </rPh>
    <phoneticPr fontId="1"/>
  </si>
  <si>
    <t>今月まで稼働２３</t>
    <rPh sb="0" eb="2">
      <t>コンゲツ</t>
    </rPh>
    <rPh sb="4" eb="6">
      <t>カドウ</t>
    </rPh>
    <phoneticPr fontId="1"/>
  </si>
  <si>
    <t>今月まで稼働２４</t>
    <rPh sb="0" eb="2">
      <t>コンゲツ</t>
    </rPh>
    <rPh sb="4" eb="6">
      <t>カドウ</t>
    </rPh>
    <phoneticPr fontId="1"/>
  </si>
  <si>
    <t>今月まで稼働２５</t>
    <rPh sb="0" eb="2">
      <t>コンゲツ</t>
    </rPh>
    <rPh sb="4" eb="6">
      <t>カドウ</t>
    </rPh>
    <phoneticPr fontId="1"/>
  </si>
  <si>
    <t>今月まで稼働２６</t>
    <rPh sb="0" eb="2">
      <t>コンゲツ</t>
    </rPh>
    <rPh sb="4" eb="6">
      <t>カドウ</t>
    </rPh>
    <phoneticPr fontId="1"/>
  </si>
  <si>
    <t>今月まで稼働２７</t>
    <rPh sb="0" eb="2">
      <t>コンゲツ</t>
    </rPh>
    <rPh sb="4" eb="6">
      <t>カドウ</t>
    </rPh>
    <phoneticPr fontId="1"/>
  </si>
  <si>
    <t>今月まで稼働２８</t>
    <rPh sb="0" eb="2">
      <t>コンゲツ</t>
    </rPh>
    <rPh sb="4" eb="6">
      <t>カドウ</t>
    </rPh>
    <phoneticPr fontId="1"/>
  </si>
  <si>
    <t>今月まで稼働２９</t>
    <rPh sb="0" eb="2">
      <t>コンゲツ</t>
    </rPh>
    <rPh sb="4" eb="6">
      <t>カドウ</t>
    </rPh>
    <phoneticPr fontId="1"/>
  </si>
  <si>
    <t>今月まで稼働３０</t>
    <rPh sb="0" eb="2">
      <t>コンゲツ</t>
    </rPh>
    <rPh sb="4" eb="6">
      <t>カドウ</t>
    </rPh>
    <phoneticPr fontId="1"/>
  </si>
  <si>
    <t>今月まで稼働３１</t>
    <rPh sb="0" eb="2">
      <t>コンゲツ</t>
    </rPh>
    <rPh sb="4" eb="6">
      <t>カドウ</t>
    </rPh>
    <phoneticPr fontId="1"/>
  </si>
  <si>
    <t>今月まで稼働３２</t>
    <rPh sb="0" eb="2">
      <t>コンゲツ</t>
    </rPh>
    <rPh sb="4" eb="6">
      <t>カドウ</t>
    </rPh>
    <phoneticPr fontId="1"/>
  </si>
  <si>
    <t>今月まで稼働３３</t>
    <rPh sb="0" eb="2">
      <t>コンゲツ</t>
    </rPh>
    <rPh sb="4" eb="6">
      <t>カドウ</t>
    </rPh>
    <phoneticPr fontId="1"/>
  </si>
  <si>
    <t>今月まで稼働３４</t>
    <rPh sb="0" eb="2">
      <t>コンゲツ</t>
    </rPh>
    <rPh sb="4" eb="6">
      <t>カドウ</t>
    </rPh>
    <phoneticPr fontId="1"/>
  </si>
  <si>
    <t>今月まで稼働３５</t>
    <rPh sb="0" eb="2">
      <t>コンゲツ</t>
    </rPh>
    <rPh sb="4" eb="6">
      <t>カドウ</t>
    </rPh>
    <phoneticPr fontId="1"/>
  </si>
  <si>
    <t>今月まで稼働３６</t>
    <rPh sb="0" eb="2">
      <t>コンゲツ</t>
    </rPh>
    <rPh sb="4" eb="6">
      <t>カドウ</t>
    </rPh>
    <phoneticPr fontId="1"/>
  </si>
  <si>
    <t>今月まで稼働３７</t>
    <rPh sb="0" eb="2">
      <t>コンゲツ</t>
    </rPh>
    <rPh sb="4" eb="6">
      <t>カドウ</t>
    </rPh>
    <phoneticPr fontId="1"/>
  </si>
  <si>
    <t>今月まで稼働３８</t>
    <rPh sb="0" eb="2">
      <t>コンゲツ</t>
    </rPh>
    <rPh sb="4" eb="6">
      <t>カドウ</t>
    </rPh>
    <phoneticPr fontId="1"/>
  </si>
  <si>
    <t>今月まで稼働３９</t>
    <rPh sb="0" eb="2">
      <t>コンゲツ</t>
    </rPh>
    <rPh sb="4" eb="6">
      <t>カドウ</t>
    </rPh>
    <phoneticPr fontId="1"/>
  </si>
  <si>
    <t>今月まで稼働４０</t>
    <rPh sb="0" eb="2">
      <t>コンゲツ</t>
    </rPh>
    <rPh sb="4" eb="6">
      <t>カドウ</t>
    </rPh>
    <phoneticPr fontId="1"/>
  </si>
  <si>
    <t>今月まで稼働４１</t>
    <rPh sb="0" eb="2">
      <t>コンゲツ</t>
    </rPh>
    <rPh sb="4" eb="6">
      <t>カドウ</t>
    </rPh>
    <phoneticPr fontId="1"/>
  </si>
  <si>
    <t>今月まで稼働４２</t>
    <rPh sb="0" eb="2">
      <t>コンゲツ</t>
    </rPh>
    <rPh sb="4" eb="6">
      <t>カドウ</t>
    </rPh>
    <phoneticPr fontId="1"/>
  </si>
  <si>
    <t>今月まで稼働４３</t>
    <rPh sb="0" eb="2">
      <t>コンゲツ</t>
    </rPh>
    <rPh sb="4" eb="6">
      <t>カドウ</t>
    </rPh>
    <phoneticPr fontId="1"/>
  </si>
  <si>
    <t>今月まで稼働４４</t>
    <rPh sb="0" eb="2">
      <t>コンゲツ</t>
    </rPh>
    <rPh sb="4" eb="6">
      <t>カドウ</t>
    </rPh>
    <phoneticPr fontId="1"/>
  </si>
  <si>
    <t>今月まで稼働４５</t>
    <rPh sb="0" eb="2">
      <t>コンゲツ</t>
    </rPh>
    <rPh sb="4" eb="6">
      <t>カドウ</t>
    </rPh>
    <phoneticPr fontId="1"/>
  </si>
  <si>
    <t>今月まで稼働４６</t>
    <rPh sb="0" eb="2">
      <t>コンゲツ</t>
    </rPh>
    <rPh sb="4" eb="6">
      <t>カドウ</t>
    </rPh>
    <phoneticPr fontId="1"/>
  </si>
  <si>
    <t>今月まで稼働４７</t>
    <rPh sb="0" eb="2">
      <t>コンゲツ</t>
    </rPh>
    <rPh sb="4" eb="6">
      <t>カドウ</t>
    </rPh>
    <phoneticPr fontId="1"/>
  </si>
  <si>
    <t>今月まで稼働４８</t>
    <rPh sb="0" eb="2">
      <t>コンゲツ</t>
    </rPh>
    <rPh sb="4" eb="6">
      <t>カドウ</t>
    </rPh>
    <phoneticPr fontId="1"/>
  </si>
  <si>
    <t>今月まで稼働４９</t>
    <rPh sb="0" eb="2">
      <t>コンゲツ</t>
    </rPh>
    <rPh sb="4" eb="6">
      <t>カドウ</t>
    </rPh>
    <phoneticPr fontId="1"/>
  </si>
  <si>
    <t>今月まで稼働５０</t>
    <rPh sb="0" eb="2">
      <t>コンゲツ</t>
    </rPh>
    <rPh sb="4" eb="6">
      <t>カドウ</t>
    </rPh>
    <phoneticPr fontId="1"/>
  </si>
  <si>
    <t>今月まで稼働５１</t>
    <rPh sb="0" eb="2">
      <t>コンゲツ</t>
    </rPh>
    <rPh sb="4" eb="6">
      <t>カドウ</t>
    </rPh>
    <phoneticPr fontId="1"/>
  </si>
  <si>
    <t>今月まで稼働５２</t>
    <rPh sb="0" eb="2">
      <t>コンゲツ</t>
    </rPh>
    <rPh sb="4" eb="6">
      <t>カドウ</t>
    </rPh>
    <phoneticPr fontId="1"/>
  </si>
  <si>
    <t>今月まで稼働５３</t>
    <rPh sb="0" eb="2">
      <t>コンゲツ</t>
    </rPh>
    <rPh sb="4" eb="6">
      <t>カドウ</t>
    </rPh>
    <phoneticPr fontId="1"/>
  </si>
  <si>
    <t>今月まで稼働５４</t>
    <rPh sb="0" eb="2">
      <t>コンゲツ</t>
    </rPh>
    <rPh sb="4" eb="6">
      <t>カドウ</t>
    </rPh>
    <phoneticPr fontId="1"/>
  </si>
  <si>
    <t>今月まで稼働５５</t>
    <rPh sb="0" eb="2">
      <t>コンゲツ</t>
    </rPh>
    <rPh sb="4" eb="6">
      <t>カドウ</t>
    </rPh>
    <phoneticPr fontId="1"/>
  </si>
  <si>
    <t>今月まで稼働５６</t>
    <rPh sb="0" eb="2">
      <t>コンゲツ</t>
    </rPh>
    <rPh sb="4" eb="6">
      <t>カドウ</t>
    </rPh>
    <phoneticPr fontId="1"/>
  </si>
  <si>
    <t>今月まで稼働５７</t>
    <rPh sb="0" eb="2">
      <t>コンゲツ</t>
    </rPh>
    <rPh sb="4" eb="6">
      <t>カドウ</t>
    </rPh>
    <phoneticPr fontId="1"/>
  </si>
  <si>
    <t>今月まで稼働５８</t>
    <rPh sb="0" eb="2">
      <t>コンゲツ</t>
    </rPh>
    <rPh sb="4" eb="6">
      <t>カドウ</t>
    </rPh>
    <phoneticPr fontId="1"/>
  </si>
  <si>
    <t>今月まで稼働５９</t>
    <rPh sb="0" eb="2">
      <t>コンゲツ</t>
    </rPh>
    <rPh sb="4" eb="6">
      <t>カドウ</t>
    </rPh>
    <phoneticPr fontId="1"/>
  </si>
  <si>
    <t>今月まで稼働６０</t>
    <rPh sb="0" eb="2">
      <t>コンゲツ</t>
    </rPh>
    <rPh sb="4" eb="6">
      <t>カドウ</t>
    </rPh>
    <phoneticPr fontId="1"/>
  </si>
  <si>
    <t>今月まで稼働６１</t>
    <rPh sb="0" eb="2">
      <t>コンゲツ</t>
    </rPh>
    <rPh sb="4" eb="6">
      <t>カドウ</t>
    </rPh>
    <phoneticPr fontId="1"/>
  </si>
  <si>
    <t>今月まで稼働６２</t>
    <rPh sb="0" eb="2">
      <t>コンゲツ</t>
    </rPh>
    <rPh sb="4" eb="6">
      <t>カドウ</t>
    </rPh>
    <phoneticPr fontId="1"/>
  </si>
  <si>
    <t>今月まで稼働６３</t>
    <rPh sb="0" eb="2">
      <t>コンゲツ</t>
    </rPh>
    <rPh sb="4" eb="6">
      <t>カドウ</t>
    </rPh>
    <phoneticPr fontId="1"/>
  </si>
  <si>
    <t>今月まで稼働６４</t>
    <rPh sb="0" eb="2">
      <t>コンゲツ</t>
    </rPh>
    <rPh sb="4" eb="6">
      <t>カドウ</t>
    </rPh>
    <phoneticPr fontId="1"/>
  </si>
  <si>
    <t>今月まで稼働６５</t>
    <rPh sb="0" eb="2">
      <t>コンゲツ</t>
    </rPh>
    <rPh sb="4" eb="6">
      <t>カドウ</t>
    </rPh>
    <phoneticPr fontId="1"/>
  </si>
  <si>
    <t>今月まで稼働６６</t>
    <rPh sb="0" eb="2">
      <t>コンゲツ</t>
    </rPh>
    <rPh sb="4" eb="6">
      <t>カドウ</t>
    </rPh>
    <phoneticPr fontId="1"/>
  </si>
  <si>
    <t>今月まで稼働６７</t>
    <rPh sb="0" eb="2">
      <t>コンゲツ</t>
    </rPh>
    <rPh sb="4" eb="6">
      <t>カドウ</t>
    </rPh>
    <phoneticPr fontId="1"/>
  </si>
  <si>
    <t>今月まで稼働６８</t>
    <rPh sb="0" eb="2">
      <t>コンゲツ</t>
    </rPh>
    <rPh sb="4" eb="6">
      <t>カドウ</t>
    </rPh>
    <phoneticPr fontId="1"/>
  </si>
  <si>
    <t>今月まで稼働６９</t>
    <rPh sb="0" eb="2">
      <t>コンゲツ</t>
    </rPh>
    <rPh sb="4" eb="6">
      <t>カドウ</t>
    </rPh>
    <phoneticPr fontId="1"/>
  </si>
  <si>
    <t>今月まで稼働７０</t>
    <rPh sb="0" eb="2">
      <t>コンゲツ</t>
    </rPh>
    <rPh sb="4" eb="6">
      <t>カドウ</t>
    </rPh>
    <phoneticPr fontId="1"/>
  </si>
  <si>
    <t>今月まで稼働７１</t>
    <rPh sb="0" eb="2">
      <t>コンゲツ</t>
    </rPh>
    <rPh sb="4" eb="6">
      <t>カドウ</t>
    </rPh>
    <phoneticPr fontId="1"/>
  </si>
  <si>
    <t>今月まで稼働７２</t>
    <rPh sb="0" eb="2">
      <t>コンゲツ</t>
    </rPh>
    <rPh sb="4" eb="6">
      <t>カドウ</t>
    </rPh>
    <phoneticPr fontId="1"/>
  </si>
  <si>
    <t>今月まで稼働７３</t>
    <rPh sb="0" eb="2">
      <t>コンゲツ</t>
    </rPh>
    <rPh sb="4" eb="6">
      <t>カドウ</t>
    </rPh>
    <phoneticPr fontId="1"/>
  </si>
  <si>
    <t>今月まで稼働７４</t>
    <rPh sb="0" eb="2">
      <t>コンゲツ</t>
    </rPh>
    <rPh sb="4" eb="6">
      <t>カドウ</t>
    </rPh>
    <phoneticPr fontId="1"/>
  </si>
  <si>
    <t>今月まで稼働７５</t>
    <rPh sb="0" eb="2">
      <t>コンゲツ</t>
    </rPh>
    <rPh sb="4" eb="6">
      <t>カドウ</t>
    </rPh>
    <phoneticPr fontId="1"/>
  </si>
  <si>
    <t>来月まで稼働１</t>
    <rPh sb="0" eb="2">
      <t>ライゲツ</t>
    </rPh>
    <rPh sb="4" eb="6">
      <t>カドウ</t>
    </rPh>
    <phoneticPr fontId="1"/>
  </si>
  <si>
    <t>来月まで稼働２</t>
    <rPh sb="0" eb="2">
      <t>ライゲツ</t>
    </rPh>
    <rPh sb="4" eb="6">
      <t>カドウ</t>
    </rPh>
    <phoneticPr fontId="1"/>
  </si>
  <si>
    <t>来月まで稼働３</t>
    <rPh sb="0" eb="2">
      <t>ライゲツ</t>
    </rPh>
    <rPh sb="4" eb="6">
      <t>カドウ</t>
    </rPh>
    <phoneticPr fontId="1"/>
  </si>
  <si>
    <t>来月まで稼働４</t>
    <rPh sb="0" eb="2">
      <t>ライゲツ</t>
    </rPh>
    <rPh sb="4" eb="6">
      <t>カドウ</t>
    </rPh>
    <phoneticPr fontId="1"/>
  </si>
  <si>
    <t>来月まで稼働５</t>
    <rPh sb="0" eb="2">
      <t>ライゲツ</t>
    </rPh>
    <rPh sb="4" eb="6">
      <t>カドウ</t>
    </rPh>
    <phoneticPr fontId="1"/>
  </si>
  <si>
    <t>来月まで稼働６</t>
    <rPh sb="0" eb="2">
      <t>ライゲツ</t>
    </rPh>
    <rPh sb="4" eb="6">
      <t>カドウ</t>
    </rPh>
    <phoneticPr fontId="1"/>
  </si>
  <si>
    <t>来月まで稼働７</t>
    <rPh sb="0" eb="2">
      <t>ライゲツ</t>
    </rPh>
    <rPh sb="4" eb="6">
      <t>カドウ</t>
    </rPh>
    <phoneticPr fontId="1"/>
  </si>
  <si>
    <t>来月まで稼働８</t>
    <rPh sb="0" eb="2">
      <t>ライゲツ</t>
    </rPh>
    <rPh sb="4" eb="6">
      <t>カドウ</t>
    </rPh>
    <phoneticPr fontId="1"/>
  </si>
  <si>
    <t>来月まで稼働９</t>
    <rPh sb="0" eb="2">
      <t>ライゲツ</t>
    </rPh>
    <rPh sb="4" eb="6">
      <t>カドウ</t>
    </rPh>
    <phoneticPr fontId="1"/>
  </si>
  <si>
    <t>来月まで稼働１０</t>
    <rPh sb="0" eb="2">
      <t>ライゲツ</t>
    </rPh>
    <rPh sb="4" eb="6">
      <t>カドウ</t>
    </rPh>
    <phoneticPr fontId="1"/>
  </si>
  <si>
    <t>来月まで稼働１１</t>
    <rPh sb="0" eb="2">
      <t>ライゲツ</t>
    </rPh>
    <rPh sb="4" eb="6">
      <t>カドウ</t>
    </rPh>
    <phoneticPr fontId="1"/>
  </si>
  <si>
    <t>来月まで稼働１２</t>
    <rPh sb="0" eb="2">
      <t>ライゲツ</t>
    </rPh>
    <rPh sb="4" eb="6">
      <t>カドウ</t>
    </rPh>
    <phoneticPr fontId="1"/>
  </si>
  <si>
    <t>来月まで稼働１３</t>
    <rPh sb="0" eb="2">
      <t>ライゲツ</t>
    </rPh>
    <rPh sb="4" eb="6">
      <t>カドウ</t>
    </rPh>
    <phoneticPr fontId="1"/>
  </si>
  <si>
    <t>来月まで稼働１４</t>
    <rPh sb="0" eb="2">
      <t>ライゲツ</t>
    </rPh>
    <rPh sb="4" eb="6">
      <t>カドウ</t>
    </rPh>
    <phoneticPr fontId="1"/>
  </si>
  <si>
    <t>来月まで稼働１５</t>
    <rPh sb="0" eb="2">
      <t>ライゲツ</t>
    </rPh>
    <rPh sb="4" eb="6">
      <t>カドウ</t>
    </rPh>
    <phoneticPr fontId="1"/>
  </si>
  <si>
    <t>来月まで稼働１６</t>
    <rPh sb="0" eb="2">
      <t>ライゲツ</t>
    </rPh>
    <rPh sb="4" eb="6">
      <t>カドウ</t>
    </rPh>
    <phoneticPr fontId="1"/>
  </si>
  <si>
    <t>来月まで稼働１７</t>
    <rPh sb="0" eb="2">
      <t>ライゲツ</t>
    </rPh>
    <rPh sb="4" eb="6">
      <t>カドウ</t>
    </rPh>
    <phoneticPr fontId="1"/>
  </si>
  <si>
    <t>来月まで稼働１８</t>
    <rPh sb="0" eb="2">
      <t>ライゲツ</t>
    </rPh>
    <rPh sb="4" eb="6">
      <t>カドウ</t>
    </rPh>
    <phoneticPr fontId="1"/>
  </si>
  <si>
    <t>来月まで稼働１９</t>
    <rPh sb="0" eb="2">
      <t>ライゲツ</t>
    </rPh>
    <rPh sb="4" eb="6">
      <t>カドウ</t>
    </rPh>
    <phoneticPr fontId="1"/>
  </si>
  <si>
    <t>来月まで稼働２０</t>
    <rPh sb="0" eb="2">
      <t>ライゲツ</t>
    </rPh>
    <rPh sb="4" eb="6">
      <t>カドウ</t>
    </rPh>
    <phoneticPr fontId="1"/>
  </si>
  <si>
    <t>来月まで稼働２１</t>
    <rPh sb="0" eb="2">
      <t>ライゲツ</t>
    </rPh>
    <rPh sb="4" eb="6">
      <t>カドウ</t>
    </rPh>
    <phoneticPr fontId="1"/>
  </si>
  <si>
    <t>来月まで稼働２２</t>
    <rPh sb="0" eb="2">
      <t>ライゲツ</t>
    </rPh>
    <rPh sb="4" eb="6">
      <t>カドウ</t>
    </rPh>
    <phoneticPr fontId="1"/>
  </si>
  <si>
    <t>来月まで稼働２３</t>
    <rPh sb="0" eb="2">
      <t>ライゲツ</t>
    </rPh>
    <rPh sb="4" eb="6">
      <t>カドウ</t>
    </rPh>
    <phoneticPr fontId="1"/>
  </si>
  <si>
    <t>来月まで稼働２４</t>
    <rPh sb="0" eb="2">
      <t>ライゲツ</t>
    </rPh>
    <rPh sb="4" eb="6">
      <t>カドウ</t>
    </rPh>
    <phoneticPr fontId="1"/>
  </si>
  <si>
    <t>来月まで稼働２５</t>
    <rPh sb="0" eb="2">
      <t>ライゲツ</t>
    </rPh>
    <rPh sb="4" eb="6">
      <t>カドウ</t>
    </rPh>
    <phoneticPr fontId="1"/>
  </si>
  <si>
    <t>来月まで稼働２６</t>
    <rPh sb="0" eb="2">
      <t>ライゲツ</t>
    </rPh>
    <rPh sb="4" eb="6">
      <t>カドウ</t>
    </rPh>
    <phoneticPr fontId="1"/>
  </si>
  <si>
    <t>来月まで稼働２７</t>
    <rPh sb="0" eb="2">
      <t>ライゲツ</t>
    </rPh>
    <rPh sb="4" eb="6">
      <t>カドウ</t>
    </rPh>
    <phoneticPr fontId="1"/>
  </si>
  <si>
    <t>来月まで稼働２８</t>
    <rPh sb="0" eb="2">
      <t>ライゲツ</t>
    </rPh>
    <rPh sb="4" eb="6">
      <t>カドウ</t>
    </rPh>
    <phoneticPr fontId="1"/>
  </si>
  <si>
    <t>来月まで稼働２９</t>
    <rPh sb="0" eb="2">
      <t>ライゲツ</t>
    </rPh>
    <rPh sb="4" eb="6">
      <t>カドウ</t>
    </rPh>
    <phoneticPr fontId="1"/>
  </si>
  <si>
    <t>来月まで稼働３０</t>
    <rPh sb="0" eb="2">
      <t>ライゲツ</t>
    </rPh>
    <rPh sb="4" eb="6">
      <t>カドウ</t>
    </rPh>
    <phoneticPr fontId="1"/>
  </si>
  <si>
    <t>来月まで稼働３１</t>
    <rPh sb="0" eb="2">
      <t>ライゲツ</t>
    </rPh>
    <rPh sb="4" eb="6">
      <t>カドウ</t>
    </rPh>
    <phoneticPr fontId="1"/>
  </si>
  <si>
    <t>来月まで稼働３２</t>
    <rPh sb="0" eb="2">
      <t>ライゲツ</t>
    </rPh>
    <rPh sb="4" eb="6">
      <t>カドウ</t>
    </rPh>
    <phoneticPr fontId="1"/>
  </si>
  <si>
    <t>来月まで稼働３３</t>
    <rPh sb="0" eb="2">
      <t>ライゲツ</t>
    </rPh>
    <rPh sb="4" eb="6">
      <t>カドウ</t>
    </rPh>
    <phoneticPr fontId="1"/>
  </si>
  <si>
    <t>来月まで稼働３４</t>
    <rPh sb="0" eb="2">
      <t>ライゲツ</t>
    </rPh>
    <rPh sb="4" eb="6">
      <t>カドウ</t>
    </rPh>
    <phoneticPr fontId="1"/>
  </si>
  <si>
    <t>来月まで稼働３５</t>
    <rPh sb="0" eb="2">
      <t>ライゲツ</t>
    </rPh>
    <rPh sb="4" eb="6">
      <t>カドウ</t>
    </rPh>
    <phoneticPr fontId="1"/>
  </si>
  <si>
    <t>来月まで稼働３６</t>
    <rPh sb="0" eb="2">
      <t>ライゲツ</t>
    </rPh>
    <rPh sb="4" eb="6">
      <t>カドウ</t>
    </rPh>
    <phoneticPr fontId="1"/>
  </si>
  <si>
    <t>来月まで稼働３７</t>
    <rPh sb="0" eb="2">
      <t>ライゲツ</t>
    </rPh>
    <rPh sb="4" eb="6">
      <t>カドウ</t>
    </rPh>
    <phoneticPr fontId="1"/>
  </si>
  <si>
    <t>来月まで稼働３８</t>
    <rPh sb="0" eb="2">
      <t>ライゲツ</t>
    </rPh>
    <rPh sb="4" eb="6">
      <t>カドウ</t>
    </rPh>
    <phoneticPr fontId="1"/>
  </si>
  <si>
    <t>来月まで稼働３９</t>
    <rPh sb="0" eb="2">
      <t>ライゲツ</t>
    </rPh>
    <rPh sb="4" eb="6">
      <t>カドウ</t>
    </rPh>
    <phoneticPr fontId="1"/>
  </si>
  <si>
    <t>来月まで稼働４０</t>
    <rPh sb="0" eb="2">
      <t>ライゲツ</t>
    </rPh>
    <rPh sb="4" eb="6">
      <t>カドウ</t>
    </rPh>
    <phoneticPr fontId="1"/>
  </si>
  <si>
    <t>来月まで稼働４１</t>
    <rPh sb="0" eb="2">
      <t>ライゲツ</t>
    </rPh>
    <rPh sb="4" eb="6">
      <t>カドウ</t>
    </rPh>
    <phoneticPr fontId="1"/>
  </si>
  <si>
    <t>来月まで稼働４２</t>
    <rPh sb="0" eb="2">
      <t>ライゲツ</t>
    </rPh>
    <rPh sb="4" eb="6">
      <t>カドウ</t>
    </rPh>
    <phoneticPr fontId="1"/>
  </si>
  <si>
    <t>来月まで稼働４３</t>
    <rPh sb="0" eb="2">
      <t>ライゲツ</t>
    </rPh>
    <rPh sb="4" eb="6">
      <t>カドウ</t>
    </rPh>
    <phoneticPr fontId="1"/>
  </si>
  <si>
    <t>来月まで稼働４４</t>
    <rPh sb="0" eb="2">
      <t>ライゲツ</t>
    </rPh>
    <rPh sb="4" eb="6">
      <t>カドウ</t>
    </rPh>
    <phoneticPr fontId="1"/>
  </si>
  <si>
    <t>来月まで稼働４５</t>
    <rPh sb="0" eb="2">
      <t>ライゲツ</t>
    </rPh>
    <rPh sb="4" eb="6">
      <t>カドウ</t>
    </rPh>
    <phoneticPr fontId="1"/>
  </si>
  <si>
    <t>来月まで稼働４６</t>
    <rPh sb="0" eb="2">
      <t>ライゲツ</t>
    </rPh>
    <rPh sb="4" eb="6">
      <t>カドウ</t>
    </rPh>
    <phoneticPr fontId="1"/>
  </si>
  <si>
    <t>来月まで稼働４７</t>
    <rPh sb="0" eb="2">
      <t>ライゲツ</t>
    </rPh>
    <rPh sb="4" eb="6">
      <t>カドウ</t>
    </rPh>
    <phoneticPr fontId="1"/>
  </si>
  <si>
    <t>来月まで稼働４８</t>
    <rPh sb="0" eb="2">
      <t>ライゲツ</t>
    </rPh>
    <rPh sb="4" eb="6">
      <t>カドウ</t>
    </rPh>
    <phoneticPr fontId="1"/>
  </si>
  <si>
    <t>来月まで稼働４９</t>
    <rPh sb="0" eb="2">
      <t>ライゲツ</t>
    </rPh>
    <rPh sb="4" eb="6">
      <t>カドウ</t>
    </rPh>
    <phoneticPr fontId="1"/>
  </si>
  <si>
    <t>来月まで稼働５０</t>
    <rPh sb="0" eb="2">
      <t>ライゲツ</t>
    </rPh>
    <rPh sb="4" eb="6">
      <t>カドウ</t>
    </rPh>
    <phoneticPr fontId="1"/>
  </si>
  <si>
    <t>来月まで稼働５１</t>
    <rPh sb="0" eb="2">
      <t>ライゲツ</t>
    </rPh>
    <rPh sb="4" eb="6">
      <t>カドウ</t>
    </rPh>
    <phoneticPr fontId="1"/>
  </si>
  <si>
    <t>来月まで稼働５２</t>
    <rPh sb="0" eb="2">
      <t>ライゲツ</t>
    </rPh>
    <rPh sb="4" eb="6">
      <t>カドウ</t>
    </rPh>
    <phoneticPr fontId="1"/>
  </si>
  <si>
    <t>来月まで稼働５３</t>
    <rPh sb="0" eb="2">
      <t>ライゲツ</t>
    </rPh>
    <rPh sb="4" eb="6">
      <t>カドウ</t>
    </rPh>
    <phoneticPr fontId="1"/>
  </si>
  <si>
    <t>来月まで稼働５４</t>
    <rPh sb="0" eb="2">
      <t>ライゲツ</t>
    </rPh>
    <rPh sb="4" eb="6">
      <t>カドウ</t>
    </rPh>
    <phoneticPr fontId="1"/>
  </si>
  <si>
    <t>来月まで稼働５５</t>
    <rPh sb="0" eb="2">
      <t>ライゲツ</t>
    </rPh>
    <rPh sb="4" eb="6">
      <t>カドウ</t>
    </rPh>
    <phoneticPr fontId="1"/>
  </si>
  <si>
    <t>来月まで稼働５６</t>
    <rPh sb="0" eb="2">
      <t>ライゲツ</t>
    </rPh>
    <rPh sb="4" eb="6">
      <t>カドウ</t>
    </rPh>
    <phoneticPr fontId="1"/>
  </si>
  <si>
    <t>２か月後まで待機１</t>
    <rPh sb="2" eb="4">
      <t>ゲツゴ</t>
    </rPh>
    <rPh sb="6" eb="8">
      <t>タイキ</t>
    </rPh>
    <phoneticPr fontId="1"/>
  </si>
  <si>
    <t>２か月後まで待機２</t>
    <rPh sb="2" eb="4">
      <t>ゲツゴ</t>
    </rPh>
    <rPh sb="6" eb="8">
      <t>タイキ</t>
    </rPh>
    <phoneticPr fontId="1"/>
  </si>
  <si>
    <t>２か月後まで待機３</t>
    <rPh sb="2" eb="4">
      <t>ゲツゴ</t>
    </rPh>
    <rPh sb="6" eb="8">
      <t>タイキ</t>
    </rPh>
    <phoneticPr fontId="1"/>
  </si>
  <si>
    <t>２か月後まで待機４</t>
    <rPh sb="2" eb="4">
      <t>ゲツゴ</t>
    </rPh>
    <rPh sb="6" eb="8">
      <t>タイキ</t>
    </rPh>
    <phoneticPr fontId="1"/>
  </si>
  <si>
    <t>２か月後まで待機５</t>
    <rPh sb="2" eb="4">
      <t>ゲツゴ</t>
    </rPh>
    <rPh sb="6" eb="8">
      <t>タイキ</t>
    </rPh>
    <phoneticPr fontId="1"/>
  </si>
  <si>
    <t>２か月後まで待機６</t>
    <rPh sb="2" eb="4">
      <t>ゲツゴ</t>
    </rPh>
    <rPh sb="6" eb="8">
      <t>タイキ</t>
    </rPh>
    <phoneticPr fontId="1"/>
  </si>
  <si>
    <t>２か月後まで待機７</t>
    <rPh sb="2" eb="4">
      <t>ゲツゴ</t>
    </rPh>
    <rPh sb="6" eb="8">
      <t>タイキ</t>
    </rPh>
    <phoneticPr fontId="1"/>
  </si>
  <si>
    <t>２か月後まで待機８</t>
    <rPh sb="2" eb="4">
      <t>ゲツゴ</t>
    </rPh>
    <rPh sb="6" eb="8">
      <t>タイキ</t>
    </rPh>
    <phoneticPr fontId="1"/>
  </si>
  <si>
    <t>２か月後まで待機９</t>
    <rPh sb="2" eb="4">
      <t>ゲツゴ</t>
    </rPh>
    <rPh sb="6" eb="8">
      <t>タイキ</t>
    </rPh>
    <phoneticPr fontId="1"/>
  </si>
  <si>
    <t>２か月後まで待機１０</t>
    <rPh sb="2" eb="4">
      <t>ゲツゴ</t>
    </rPh>
    <rPh sb="6" eb="8">
      <t>タイキ</t>
    </rPh>
    <phoneticPr fontId="1"/>
  </si>
  <si>
    <t>２か月後まで待機１１</t>
    <rPh sb="2" eb="4">
      <t>ゲツゴ</t>
    </rPh>
    <rPh sb="6" eb="8">
      <t>タイキ</t>
    </rPh>
    <phoneticPr fontId="1"/>
  </si>
  <si>
    <t>２か月後まで待機１２</t>
    <rPh sb="2" eb="4">
      <t>ゲツゴ</t>
    </rPh>
    <rPh sb="6" eb="8">
      <t>タイキ</t>
    </rPh>
    <phoneticPr fontId="1"/>
  </si>
  <si>
    <t>２か月後まで待機１３</t>
    <rPh sb="2" eb="4">
      <t>ゲツゴ</t>
    </rPh>
    <rPh sb="6" eb="8">
      <t>タイキ</t>
    </rPh>
    <phoneticPr fontId="1"/>
  </si>
  <si>
    <t>２か月後まで待機１４</t>
    <rPh sb="2" eb="4">
      <t>ゲツゴ</t>
    </rPh>
    <rPh sb="6" eb="8">
      <t>タイキ</t>
    </rPh>
    <phoneticPr fontId="1"/>
  </si>
  <si>
    <t>２か月後まで待機１５</t>
    <rPh sb="2" eb="4">
      <t>ゲツゴ</t>
    </rPh>
    <rPh sb="6" eb="8">
      <t>タイキ</t>
    </rPh>
    <phoneticPr fontId="1"/>
  </si>
  <si>
    <t>２か月後まで待機１６</t>
    <rPh sb="2" eb="4">
      <t>ゲツゴ</t>
    </rPh>
    <rPh sb="6" eb="8">
      <t>タイキ</t>
    </rPh>
    <phoneticPr fontId="1"/>
  </si>
  <si>
    <t>２か月後まで待機１７</t>
    <rPh sb="2" eb="4">
      <t>ゲツゴ</t>
    </rPh>
    <rPh sb="6" eb="8">
      <t>タイキ</t>
    </rPh>
    <phoneticPr fontId="1"/>
  </si>
  <si>
    <t>３が月後まで待機１</t>
    <rPh sb="2" eb="3">
      <t>ゲツ</t>
    </rPh>
    <rPh sb="3" eb="4">
      <t>ゴ</t>
    </rPh>
    <rPh sb="6" eb="8">
      <t>タイキ</t>
    </rPh>
    <phoneticPr fontId="1"/>
  </si>
  <si>
    <t>３が月後まで待機２</t>
    <rPh sb="2" eb="3">
      <t>ゲツ</t>
    </rPh>
    <rPh sb="3" eb="4">
      <t>ゴ</t>
    </rPh>
    <rPh sb="6" eb="8">
      <t>タイキ</t>
    </rPh>
    <phoneticPr fontId="1"/>
  </si>
  <si>
    <t>３が月後まで待機３</t>
    <rPh sb="2" eb="3">
      <t>ゲツ</t>
    </rPh>
    <rPh sb="3" eb="4">
      <t>ゴ</t>
    </rPh>
    <rPh sb="6" eb="8">
      <t>タイキ</t>
    </rPh>
    <phoneticPr fontId="1"/>
  </si>
  <si>
    <t>３が月後まで待機４</t>
    <rPh sb="2" eb="3">
      <t>ゲツ</t>
    </rPh>
    <rPh sb="3" eb="4">
      <t>ゴ</t>
    </rPh>
    <rPh sb="6" eb="8">
      <t>タイキ</t>
    </rPh>
    <phoneticPr fontId="1"/>
  </si>
  <si>
    <t>３が月後まで待機５</t>
    <rPh sb="2" eb="3">
      <t>ゲツ</t>
    </rPh>
    <rPh sb="3" eb="4">
      <t>ゴ</t>
    </rPh>
    <rPh sb="6" eb="8">
      <t>タイキ</t>
    </rPh>
    <phoneticPr fontId="1"/>
  </si>
  <si>
    <t>３が月後まで待機６</t>
    <rPh sb="2" eb="3">
      <t>ゲツ</t>
    </rPh>
    <rPh sb="3" eb="4">
      <t>ゴ</t>
    </rPh>
    <rPh sb="6" eb="8">
      <t>タイキ</t>
    </rPh>
    <phoneticPr fontId="1"/>
  </si>
  <si>
    <t>３が月後まで待機７</t>
    <rPh sb="2" eb="3">
      <t>ゲツ</t>
    </rPh>
    <rPh sb="3" eb="4">
      <t>ゴ</t>
    </rPh>
    <rPh sb="6" eb="8">
      <t>タイキ</t>
    </rPh>
    <phoneticPr fontId="1"/>
  </si>
  <si>
    <t>３が月後まで待機８</t>
    <rPh sb="2" eb="3">
      <t>ゲツ</t>
    </rPh>
    <rPh sb="3" eb="4">
      <t>ゴ</t>
    </rPh>
    <rPh sb="6" eb="8">
      <t>タイキ</t>
    </rPh>
    <phoneticPr fontId="1"/>
  </si>
  <si>
    <t>３が月後まで待機９</t>
    <rPh sb="2" eb="3">
      <t>ゲツ</t>
    </rPh>
    <rPh sb="3" eb="4">
      <t>ゴ</t>
    </rPh>
    <rPh sb="6" eb="8">
      <t>タイキ</t>
    </rPh>
    <phoneticPr fontId="1"/>
  </si>
  <si>
    <t>３が月後まで待機１０</t>
    <rPh sb="2" eb="3">
      <t>ゲツ</t>
    </rPh>
    <rPh sb="3" eb="4">
      <t>ゴ</t>
    </rPh>
    <rPh sb="6" eb="8">
      <t>タイキ</t>
    </rPh>
    <phoneticPr fontId="1"/>
  </si>
  <si>
    <t>３が月後まで待機１１</t>
    <rPh sb="2" eb="3">
      <t>ゲツ</t>
    </rPh>
    <rPh sb="3" eb="4">
      <t>ゴ</t>
    </rPh>
    <rPh sb="6" eb="8">
      <t>タイキ</t>
    </rPh>
    <phoneticPr fontId="1"/>
  </si>
  <si>
    <t>３が月後まで待機１２</t>
    <rPh sb="2" eb="3">
      <t>ゲツ</t>
    </rPh>
    <rPh sb="3" eb="4">
      <t>ゴ</t>
    </rPh>
    <rPh sb="6" eb="8">
      <t>タイキ</t>
    </rPh>
    <phoneticPr fontId="1"/>
  </si>
  <si>
    <t>３が月後まで待機１３</t>
    <rPh sb="2" eb="3">
      <t>ゲツ</t>
    </rPh>
    <rPh sb="3" eb="4">
      <t>ゴ</t>
    </rPh>
    <rPh sb="6" eb="8">
      <t>タイキ</t>
    </rPh>
    <phoneticPr fontId="1"/>
  </si>
  <si>
    <t>３が月後まで待機１４</t>
    <rPh sb="2" eb="3">
      <t>ゲツ</t>
    </rPh>
    <rPh sb="3" eb="4">
      <t>ゴ</t>
    </rPh>
    <rPh sb="6" eb="8">
      <t>タイキ</t>
    </rPh>
    <phoneticPr fontId="1"/>
  </si>
  <si>
    <t>３が月後まで待機１５</t>
    <rPh sb="2" eb="3">
      <t>ゲツ</t>
    </rPh>
    <rPh sb="3" eb="4">
      <t>ゴ</t>
    </rPh>
    <rPh sb="6" eb="8">
      <t>タイキ</t>
    </rPh>
    <phoneticPr fontId="1"/>
  </si>
  <si>
    <t>３が月後まで待機１６</t>
    <rPh sb="2" eb="3">
      <t>ゲツ</t>
    </rPh>
    <rPh sb="3" eb="4">
      <t>ゴ</t>
    </rPh>
    <rPh sb="6" eb="8">
      <t>タイキ</t>
    </rPh>
    <phoneticPr fontId="1"/>
  </si>
  <si>
    <t>３が月後まで待機１７</t>
    <rPh sb="2" eb="3">
      <t>ゲツ</t>
    </rPh>
    <rPh sb="3" eb="4">
      <t>ゴ</t>
    </rPh>
    <rPh sb="6" eb="8">
      <t>タイキ</t>
    </rPh>
    <phoneticPr fontId="1"/>
  </si>
  <si>
    <t>３が月後まで待機１８</t>
    <rPh sb="2" eb="3">
      <t>ゲツ</t>
    </rPh>
    <rPh sb="3" eb="4">
      <t>ゴ</t>
    </rPh>
    <rPh sb="6" eb="8">
      <t>タイキ</t>
    </rPh>
    <phoneticPr fontId="1"/>
  </si>
  <si>
    <t>３が月後まで待機１９</t>
    <rPh sb="2" eb="3">
      <t>ゲツ</t>
    </rPh>
    <rPh sb="3" eb="4">
      <t>ゴ</t>
    </rPh>
    <rPh sb="6" eb="8">
      <t>タイキ</t>
    </rPh>
    <phoneticPr fontId="1"/>
  </si>
  <si>
    <t>３が月後まで待機２０</t>
    <rPh sb="2" eb="3">
      <t>ゲツ</t>
    </rPh>
    <rPh sb="3" eb="4">
      <t>ゴ</t>
    </rPh>
    <rPh sb="6" eb="8">
      <t>タイキ</t>
    </rPh>
    <phoneticPr fontId="1"/>
  </si>
  <si>
    <t>３が月後まで待機２１</t>
    <rPh sb="2" eb="3">
      <t>ゲツ</t>
    </rPh>
    <rPh sb="3" eb="4">
      <t>ゴ</t>
    </rPh>
    <rPh sb="6" eb="8">
      <t>タイキ</t>
    </rPh>
    <phoneticPr fontId="1"/>
  </si>
  <si>
    <t>３が月後まで待機２２</t>
    <rPh sb="2" eb="3">
      <t>ゲツ</t>
    </rPh>
    <rPh sb="3" eb="4">
      <t>ゴ</t>
    </rPh>
    <rPh sb="6" eb="8">
      <t>タイキ</t>
    </rPh>
    <phoneticPr fontId="1"/>
  </si>
  <si>
    <t>３が月後まで待機２３</t>
    <rPh sb="2" eb="3">
      <t>ゲツ</t>
    </rPh>
    <rPh sb="3" eb="4">
      <t>ゴ</t>
    </rPh>
    <rPh sb="6" eb="8">
      <t>タイキ</t>
    </rPh>
    <phoneticPr fontId="1"/>
  </si>
  <si>
    <t>３が月後まで待機２４</t>
    <rPh sb="2" eb="3">
      <t>ゲツ</t>
    </rPh>
    <rPh sb="3" eb="4">
      <t>ゴ</t>
    </rPh>
    <rPh sb="6" eb="8">
      <t>タイキ</t>
    </rPh>
    <phoneticPr fontId="1"/>
  </si>
  <si>
    <t>３が月後まで待機２５</t>
    <rPh sb="2" eb="3">
      <t>ゲツ</t>
    </rPh>
    <rPh sb="3" eb="4">
      <t>ゴ</t>
    </rPh>
    <rPh sb="6" eb="8">
      <t>タイキ</t>
    </rPh>
    <phoneticPr fontId="1"/>
  </si>
  <si>
    <t>一年後待機１</t>
    <rPh sb="0" eb="2">
      <t>イチネン</t>
    </rPh>
    <rPh sb="2" eb="3">
      <t>ゴ</t>
    </rPh>
    <rPh sb="3" eb="5">
      <t>タイキ</t>
    </rPh>
    <phoneticPr fontId="1"/>
  </si>
  <si>
    <t>一年後待機２</t>
    <rPh sb="0" eb="2">
      <t>イチネン</t>
    </rPh>
    <rPh sb="2" eb="3">
      <t>ゴ</t>
    </rPh>
    <rPh sb="3" eb="5">
      <t>タイキ</t>
    </rPh>
    <phoneticPr fontId="1"/>
  </si>
  <si>
    <t>一年後待機３</t>
    <rPh sb="0" eb="2">
      <t>イチネン</t>
    </rPh>
    <rPh sb="2" eb="3">
      <t>ゴ</t>
    </rPh>
    <rPh sb="3" eb="5">
      <t>タイキ</t>
    </rPh>
    <phoneticPr fontId="1"/>
  </si>
  <si>
    <t>一年後待機４</t>
    <rPh sb="0" eb="2">
      <t>イチネン</t>
    </rPh>
    <rPh sb="2" eb="3">
      <t>ゴ</t>
    </rPh>
    <rPh sb="3" eb="5">
      <t>タイキ</t>
    </rPh>
    <phoneticPr fontId="1"/>
  </si>
  <si>
    <t>一年後待機５</t>
    <rPh sb="0" eb="2">
      <t>イチネン</t>
    </rPh>
    <rPh sb="2" eb="3">
      <t>ゴ</t>
    </rPh>
    <rPh sb="3" eb="5">
      <t>タイキ</t>
    </rPh>
    <phoneticPr fontId="1"/>
  </si>
  <si>
    <t>一年後待機６</t>
    <rPh sb="0" eb="2">
      <t>イチネン</t>
    </rPh>
    <rPh sb="2" eb="3">
      <t>ゴ</t>
    </rPh>
    <rPh sb="3" eb="5">
      <t>タイキ</t>
    </rPh>
    <phoneticPr fontId="1"/>
  </si>
  <si>
    <t>一年後待機７</t>
    <rPh sb="0" eb="2">
      <t>イチネン</t>
    </rPh>
    <rPh sb="2" eb="3">
      <t>ゴ</t>
    </rPh>
    <rPh sb="3" eb="5">
      <t>タイキ</t>
    </rPh>
    <phoneticPr fontId="1"/>
  </si>
  <si>
    <t>一年後待機８</t>
    <rPh sb="0" eb="2">
      <t>イチネン</t>
    </rPh>
    <rPh sb="2" eb="3">
      <t>ゴ</t>
    </rPh>
    <rPh sb="3" eb="5">
      <t>タイキ</t>
    </rPh>
    <phoneticPr fontId="1"/>
  </si>
  <si>
    <t>一年後待機９</t>
    <rPh sb="0" eb="2">
      <t>イチネン</t>
    </rPh>
    <rPh sb="2" eb="3">
      <t>ゴ</t>
    </rPh>
    <rPh sb="3" eb="5">
      <t>タイキ</t>
    </rPh>
    <phoneticPr fontId="1"/>
  </si>
  <si>
    <t>一年後待機１０</t>
    <rPh sb="0" eb="2">
      <t>イチネン</t>
    </rPh>
    <rPh sb="2" eb="3">
      <t>ゴ</t>
    </rPh>
    <rPh sb="3" eb="5">
      <t>タイキ</t>
    </rPh>
    <phoneticPr fontId="1"/>
  </si>
  <si>
    <t>一年後待機１１</t>
    <rPh sb="0" eb="2">
      <t>イチネン</t>
    </rPh>
    <rPh sb="2" eb="3">
      <t>ゴ</t>
    </rPh>
    <rPh sb="3" eb="5">
      <t>タイキ</t>
    </rPh>
    <phoneticPr fontId="1"/>
  </si>
  <si>
    <t>一年後待機１２</t>
    <rPh sb="0" eb="2">
      <t>イチネン</t>
    </rPh>
    <rPh sb="2" eb="3">
      <t>ゴ</t>
    </rPh>
    <rPh sb="3" eb="5">
      <t>タイキ</t>
    </rPh>
    <phoneticPr fontId="1"/>
  </si>
  <si>
    <t>一年後待機１３</t>
    <rPh sb="0" eb="2">
      <t>イチネン</t>
    </rPh>
    <rPh sb="2" eb="3">
      <t>ゴ</t>
    </rPh>
    <rPh sb="3" eb="5">
      <t>タイキ</t>
    </rPh>
    <phoneticPr fontId="1"/>
  </si>
  <si>
    <t>一年後待機１４</t>
    <rPh sb="0" eb="2">
      <t>イチネン</t>
    </rPh>
    <rPh sb="2" eb="3">
      <t>ゴ</t>
    </rPh>
    <rPh sb="3" eb="5">
      <t>タイキ</t>
    </rPh>
    <phoneticPr fontId="1"/>
  </si>
  <si>
    <t>一年後待機１５</t>
    <rPh sb="0" eb="2">
      <t>イチネン</t>
    </rPh>
    <rPh sb="2" eb="3">
      <t>ゴ</t>
    </rPh>
    <rPh sb="3" eb="5">
      <t>タイキ</t>
    </rPh>
    <phoneticPr fontId="1"/>
  </si>
  <si>
    <t>一年後待機１６</t>
    <rPh sb="0" eb="2">
      <t>イチネン</t>
    </rPh>
    <rPh sb="2" eb="3">
      <t>ゴ</t>
    </rPh>
    <rPh sb="3" eb="5">
      <t>タイキ</t>
    </rPh>
    <phoneticPr fontId="1"/>
  </si>
  <si>
    <t>一年後待機１７</t>
    <rPh sb="0" eb="2">
      <t>イチネン</t>
    </rPh>
    <rPh sb="2" eb="3">
      <t>ゴ</t>
    </rPh>
    <rPh sb="3" eb="5">
      <t>タイキ</t>
    </rPh>
    <phoneticPr fontId="1"/>
  </si>
  <si>
    <t>一年後待機１８</t>
    <rPh sb="0" eb="2">
      <t>イチネン</t>
    </rPh>
    <rPh sb="2" eb="3">
      <t>ゴ</t>
    </rPh>
    <rPh sb="3" eb="5">
      <t>タイキ</t>
    </rPh>
    <phoneticPr fontId="1"/>
  </si>
  <si>
    <t>一年後待機１９</t>
    <rPh sb="0" eb="2">
      <t>イチネン</t>
    </rPh>
    <rPh sb="2" eb="3">
      <t>ゴ</t>
    </rPh>
    <rPh sb="3" eb="5">
      <t>タイキ</t>
    </rPh>
    <phoneticPr fontId="1"/>
  </si>
  <si>
    <t>一年後待機２０</t>
    <rPh sb="0" eb="2">
      <t>イチネン</t>
    </rPh>
    <rPh sb="2" eb="3">
      <t>ゴ</t>
    </rPh>
    <rPh sb="3" eb="5">
      <t>タイキ</t>
    </rPh>
    <phoneticPr fontId="1"/>
  </si>
  <si>
    <t>一年後待機２１</t>
    <rPh sb="0" eb="2">
      <t>イチネン</t>
    </rPh>
    <rPh sb="2" eb="3">
      <t>ゴ</t>
    </rPh>
    <rPh sb="3" eb="5">
      <t>タイキ</t>
    </rPh>
    <phoneticPr fontId="1"/>
  </si>
  <si>
    <t>一年後待機２２</t>
    <rPh sb="0" eb="2">
      <t>イチネン</t>
    </rPh>
    <rPh sb="2" eb="3">
      <t>ゴ</t>
    </rPh>
    <rPh sb="3" eb="5">
      <t>タイキ</t>
    </rPh>
    <phoneticPr fontId="1"/>
  </si>
  <si>
    <t>一年後待機２３</t>
    <rPh sb="0" eb="2">
      <t>イチネン</t>
    </rPh>
    <rPh sb="2" eb="3">
      <t>ゴ</t>
    </rPh>
    <rPh sb="3" eb="5">
      <t>タイキ</t>
    </rPh>
    <phoneticPr fontId="1"/>
  </si>
  <si>
    <t>一年後待機２４</t>
    <rPh sb="0" eb="2">
      <t>イチネン</t>
    </rPh>
    <rPh sb="2" eb="3">
      <t>ゴ</t>
    </rPh>
    <rPh sb="3" eb="5">
      <t>タイキ</t>
    </rPh>
    <phoneticPr fontId="1"/>
  </si>
  <si>
    <t>一年後待機２５</t>
    <rPh sb="0" eb="2">
      <t>イチネン</t>
    </rPh>
    <rPh sb="2" eb="3">
      <t>ゴ</t>
    </rPh>
    <rPh sb="3" eb="5">
      <t>タイキ</t>
    </rPh>
    <phoneticPr fontId="1"/>
  </si>
  <si>
    <t>一年後待機２６</t>
    <rPh sb="0" eb="2">
      <t>イチネン</t>
    </rPh>
    <rPh sb="2" eb="3">
      <t>ゴ</t>
    </rPh>
    <rPh sb="3" eb="5">
      <t>タイキ</t>
    </rPh>
    <phoneticPr fontId="1"/>
  </si>
  <si>
    <t>一年後待機２７</t>
    <rPh sb="0" eb="2">
      <t>イチネン</t>
    </rPh>
    <rPh sb="2" eb="3">
      <t>ゴ</t>
    </rPh>
    <rPh sb="3" eb="5">
      <t>タイキ</t>
    </rPh>
    <phoneticPr fontId="1"/>
  </si>
  <si>
    <t>一年後待機２８</t>
    <rPh sb="0" eb="2">
      <t>イチネン</t>
    </rPh>
    <rPh sb="2" eb="3">
      <t>ゴ</t>
    </rPh>
    <rPh sb="3" eb="5">
      <t>タイキ</t>
    </rPh>
    <phoneticPr fontId="1"/>
  </si>
  <si>
    <t>一年後待機２９</t>
    <rPh sb="0" eb="2">
      <t>イチネン</t>
    </rPh>
    <rPh sb="2" eb="3">
      <t>ゴ</t>
    </rPh>
    <rPh sb="3" eb="5">
      <t>タイキ</t>
    </rPh>
    <phoneticPr fontId="1"/>
  </si>
  <si>
    <t>一年後待機３０</t>
    <rPh sb="0" eb="2">
      <t>イチネン</t>
    </rPh>
    <rPh sb="2" eb="3">
      <t>ゴ</t>
    </rPh>
    <rPh sb="3" eb="5">
      <t>タイキ</t>
    </rPh>
    <phoneticPr fontId="1"/>
  </si>
  <si>
    <t>一年後待機３１</t>
    <rPh sb="0" eb="2">
      <t>イチネン</t>
    </rPh>
    <rPh sb="2" eb="3">
      <t>ゴ</t>
    </rPh>
    <rPh sb="3" eb="5">
      <t>タイキ</t>
    </rPh>
    <phoneticPr fontId="1"/>
  </si>
  <si>
    <t>一年後待機３２</t>
    <rPh sb="0" eb="2">
      <t>イチネン</t>
    </rPh>
    <rPh sb="2" eb="3">
      <t>ゴ</t>
    </rPh>
    <rPh sb="3" eb="5">
      <t>タイキ</t>
    </rPh>
    <phoneticPr fontId="1"/>
  </si>
  <si>
    <t>一年後待機３３</t>
    <rPh sb="0" eb="2">
      <t>イチネン</t>
    </rPh>
    <rPh sb="2" eb="3">
      <t>ゴ</t>
    </rPh>
    <rPh sb="3" eb="5">
      <t>タイキ</t>
    </rPh>
    <phoneticPr fontId="1"/>
  </si>
  <si>
    <t>一年後待機３４</t>
    <rPh sb="0" eb="2">
      <t>イチネン</t>
    </rPh>
    <rPh sb="2" eb="3">
      <t>ゴ</t>
    </rPh>
    <rPh sb="3" eb="5">
      <t>タイキ</t>
    </rPh>
    <phoneticPr fontId="1"/>
  </si>
  <si>
    <t>一年後待機３５</t>
    <rPh sb="0" eb="2">
      <t>イチネン</t>
    </rPh>
    <rPh sb="2" eb="3">
      <t>ゴ</t>
    </rPh>
    <rPh sb="3" eb="5">
      <t>タイキ</t>
    </rPh>
    <phoneticPr fontId="1"/>
  </si>
  <si>
    <t>一年後待機３６</t>
    <rPh sb="0" eb="2">
      <t>イチネン</t>
    </rPh>
    <rPh sb="2" eb="3">
      <t>ゴ</t>
    </rPh>
    <rPh sb="3" eb="5">
      <t>タイキ</t>
    </rPh>
    <phoneticPr fontId="1"/>
  </si>
  <si>
    <t>一年後待機３７</t>
    <rPh sb="0" eb="2">
      <t>イチネン</t>
    </rPh>
    <rPh sb="2" eb="3">
      <t>ゴ</t>
    </rPh>
    <rPh sb="3" eb="5">
      <t>タイキ</t>
    </rPh>
    <phoneticPr fontId="1"/>
  </si>
  <si>
    <t>一年後待機３８</t>
    <rPh sb="0" eb="2">
      <t>イチネン</t>
    </rPh>
    <rPh sb="2" eb="3">
      <t>ゴ</t>
    </rPh>
    <rPh sb="3" eb="5">
      <t>タイキ</t>
    </rPh>
    <phoneticPr fontId="1"/>
  </si>
  <si>
    <t>一年後待機３９</t>
    <rPh sb="0" eb="2">
      <t>イチネン</t>
    </rPh>
    <rPh sb="2" eb="3">
      <t>ゴ</t>
    </rPh>
    <rPh sb="3" eb="5">
      <t>タイキ</t>
    </rPh>
    <phoneticPr fontId="1"/>
  </si>
  <si>
    <t>一年後待機４０</t>
    <rPh sb="0" eb="2">
      <t>イチネン</t>
    </rPh>
    <rPh sb="2" eb="3">
      <t>ゴ</t>
    </rPh>
    <rPh sb="3" eb="5">
      <t>タイキ</t>
    </rPh>
    <phoneticPr fontId="1"/>
  </si>
  <si>
    <t>一年後待機４１</t>
    <rPh sb="0" eb="2">
      <t>イチネン</t>
    </rPh>
    <rPh sb="2" eb="3">
      <t>ゴ</t>
    </rPh>
    <rPh sb="3" eb="5">
      <t>タイキ</t>
    </rPh>
    <phoneticPr fontId="1"/>
  </si>
  <si>
    <t>一年後待機４２</t>
    <rPh sb="0" eb="2">
      <t>イチネン</t>
    </rPh>
    <rPh sb="2" eb="3">
      <t>ゴ</t>
    </rPh>
    <rPh sb="3" eb="5">
      <t>タイキ</t>
    </rPh>
    <phoneticPr fontId="1"/>
  </si>
  <si>
    <t>一年後待機４３</t>
    <rPh sb="0" eb="2">
      <t>イチネン</t>
    </rPh>
    <rPh sb="2" eb="3">
      <t>ゴ</t>
    </rPh>
    <rPh sb="3" eb="5">
      <t>タイキ</t>
    </rPh>
    <phoneticPr fontId="1"/>
  </si>
  <si>
    <t>一年後待機４４</t>
    <rPh sb="0" eb="2">
      <t>イチネン</t>
    </rPh>
    <rPh sb="2" eb="3">
      <t>ゴ</t>
    </rPh>
    <rPh sb="3" eb="5">
      <t>タイキ</t>
    </rPh>
    <phoneticPr fontId="1"/>
  </si>
  <si>
    <t>一年後待機４５</t>
    <rPh sb="0" eb="2">
      <t>イチネン</t>
    </rPh>
    <rPh sb="2" eb="3">
      <t>ゴ</t>
    </rPh>
    <rPh sb="3" eb="5">
      <t>タイキ</t>
    </rPh>
    <phoneticPr fontId="1"/>
  </si>
  <si>
    <t>案件全部終了会社</t>
    <rPh sb="0" eb="2">
      <t>アンケン</t>
    </rPh>
    <rPh sb="2" eb="4">
      <t>ゼンブ</t>
    </rPh>
    <rPh sb="4" eb="6">
      <t>シュウリョウ</t>
    </rPh>
    <rPh sb="6" eb="8">
      <t>カイシャ</t>
    </rPh>
    <phoneticPr fontId="1"/>
  </si>
  <si>
    <t>P0001</t>
    <phoneticPr fontId="1"/>
  </si>
  <si>
    <t>今月終了案件</t>
    <rPh sb="0" eb="2">
      <t>コンゲツ</t>
    </rPh>
    <rPh sb="2" eb="4">
      <t>シュウリョウ</t>
    </rPh>
    <rPh sb="4" eb="6">
      <t>アンケン</t>
    </rPh>
    <phoneticPr fontId="1"/>
  </si>
  <si>
    <t>来月終了案件</t>
    <rPh sb="0" eb="2">
      <t>ライゲツ</t>
    </rPh>
    <rPh sb="2" eb="4">
      <t>シュウリョウ</t>
    </rPh>
    <rPh sb="4" eb="6">
      <t>アンケン</t>
    </rPh>
    <phoneticPr fontId="1"/>
  </si>
  <si>
    <t>２か月後終了案件</t>
    <rPh sb="2" eb="4">
      <t>ゲツゴ</t>
    </rPh>
    <rPh sb="4" eb="6">
      <t>シュウリョウ</t>
    </rPh>
    <rPh sb="6" eb="8">
      <t>アンケン</t>
    </rPh>
    <phoneticPr fontId="1"/>
  </si>
  <si>
    <t>一年後終了案件</t>
    <rPh sb="0" eb="3">
      <t>イチネンゴ</t>
    </rPh>
    <rPh sb="3" eb="5">
      <t>シュウリョウ</t>
    </rPh>
    <rPh sb="5" eb="7">
      <t>アンケン</t>
    </rPh>
    <phoneticPr fontId="1"/>
  </si>
  <si>
    <t>予算審査</t>
    <phoneticPr fontId="1"/>
  </si>
  <si>
    <t>提案中案件１</t>
    <rPh sb="0" eb="3">
      <t>テイアンチュウ</t>
    </rPh>
    <rPh sb="3" eb="5">
      <t>アンケン</t>
    </rPh>
    <phoneticPr fontId="1"/>
  </si>
  <si>
    <t>提案中案件２</t>
    <rPh sb="0" eb="3">
      <t>テイアンチュウ</t>
    </rPh>
    <rPh sb="3" eb="5">
      <t>アンケン</t>
    </rPh>
    <phoneticPr fontId="1"/>
  </si>
  <si>
    <t>提案中案件３</t>
    <rPh sb="0" eb="3">
      <t>テイアンチュウ</t>
    </rPh>
    <rPh sb="3" eb="5">
      <t>アンケン</t>
    </rPh>
    <phoneticPr fontId="1"/>
  </si>
  <si>
    <t>提案中案件４</t>
    <rPh sb="0" eb="3">
      <t>テイアンチュウ</t>
    </rPh>
    <rPh sb="3" eb="5">
      <t>アンケン</t>
    </rPh>
    <phoneticPr fontId="1"/>
  </si>
  <si>
    <t>提案中案件５</t>
    <rPh sb="0" eb="3">
      <t>テイアンチュウ</t>
    </rPh>
    <rPh sb="3" eb="5">
      <t>アンケン</t>
    </rPh>
    <phoneticPr fontId="1"/>
  </si>
  <si>
    <t>予算審査中案件１</t>
    <rPh sb="4" eb="5">
      <t>チュウ</t>
    </rPh>
    <rPh sb="5" eb="7">
      <t>アンケン</t>
    </rPh>
    <phoneticPr fontId="1"/>
  </si>
  <si>
    <t>予算審査中案件２</t>
    <rPh sb="4" eb="5">
      <t>チュウ</t>
    </rPh>
    <rPh sb="5" eb="7">
      <t>アンケン</t>
    </rPh>
    <phoneticPr fontId="1"/>
  </si>
  <si>
    <t>予算審査中案件３</t>
    <rPh sb="4" eb="5">
      <t>チュウ</t>
    </rPh>
    <rPh sb="5" eb="7">
      <t>アンケン</t>
    </rPh>
    <phoneticPr fontId="1"/>
  </si>
  <si>
    <t>予算審査中案件４</t>
    <rPh sb="4" eb="5">
      <t>チュウ</t>
    </rPh>
    <rPh sb="5" eb="7">
      <t>アンケン</t>
    </rPh>
    <phoneticPr fontId="1"/>
  </si>
  <si>
    <t>予算審査中案件５</t>
    <rPh sb="4" eb="5">
      <t>チュウ</t>
    </rPh>
    <rPh sb="5" eb="7">
      <t>アンケン</t>
    </rPh>
    <phoneticPr fontId="1"/>
  </si>
  <si>
    <t>予算審査中案件６</t>
    <rPh sb="4" eb="5">
      <t>チュウ</t>
    </rPh>
    <rPh sb="5" eb="7">
      <t>アンケン</t>
    </rPh>
    <phoneticPr fontId="1"/>
  </si>
  <si>
    <t>予算確定確定案件１</t>
    <rPh sb="4" eb="6">
      <t>カクテイ</t>
    </rPh>
    <rPh sb="6" eb="8">
      <t>アンケン</t>
    </rPh>
    <phoneticPr fontId="1"/>
  </si>
  <si>
    <t>予算確定確定案件２</t>
    <rPh sb="4" eb="6">
      <t>カクテイ</t>
    </rPh>
    <rPh sb="6" eb="8">
      <t>アンケン</t>
    </rPh>
    <phoneticPr fontId="1"/>
  </si>
  <si>
    <t>予算確定確定案件３</t>
    <rPh sb="4" eb="6">
      <t>カクテイ</t>
    </rPh>
    <rPh sb="6" eb="8">
      <t>アンケン</t>
    </rPh>
    <phoneticPr fontId="1"/>
  </si>
  <si>
    <t>予算確定確定案件４</t>
    <rPh sb="4" eb="6">
      <t>カクテイ</t>
    </rPh>
    <rPh sb="6" eb="8">
      <t>アンケン</t>
    </rPh>
    <phoneticPr fontId="1"/>
  </si>
  <si>
    <t>完了案件１</t>
    <rPh sb="0" eb="2">
      <t>カンリョウ</t>
    </rPh>
    <rPh sb="2" eb="4">
      <t>アンケン</t>
    </rPh>
    <phoneticPr fontId="1"/>
  </si>
  <si>
    <t>完了案件２</t>
    <rPh sb="0" eb="2">
      <t>カンリョウ</t>
    </rPh>
    <rPh sb="2" eb="4">
      <t>アンケン</t>
    </rPh>
    <phoneticPr fontId="1"/>
  </si>
  <si>
    <t>完了案件３</t>
    <rPh sb="0" eb="2">
      <t>カンリョウ</t>
    </rPh>
    <rPh sb="2" eb="4">
      <t>アンケン</t>
    </rPh>
    <phoneticPr fontId="1"/>
  </si>
  <si>
    <t>完了案件４</t>
    <rPh sb="0" eb="2">
      <t>カンリョウ</t>
    </rPh>
    <rPh sb="2" eb="4">
      <t>アンケン</t>
    </rPh>
    <phoneticPr fontId="1"/>
  </si>
  <si>
    <t>完了案件５</t>
    <rPh sb="0" eb="2">
      <t>カンリョウ</t>
    </rPh>
    <rPh sb="2" eb="4">
      <t>アンケン</t>
    </rPh>
    <phoneticPr fontId="1"/>
  </si>
  <si>
    <t>完了案件６</t>
    <rPh sb="0" eb="2">
      <t>カンリョウ</t>
    </rPh>
    <rPh sb="2" eb="4">
      <t>アンケン</t>
    </rPh>
    <phoneticPr fontId="1"/>
  </si>
  <si>
    <t>完了案件７</t>
    <rPh sb="0" eb="2">
      <t>カンリョウ</t>
    </rPh>
    <rPh sb="2" eb="4">
      <t>アンケン</t>
    </rPh>
    <phoneticPr fontId="1"/>
  </si>
  <si>
    <t>完了案件８</t>
    <rPh sb="0" eb="2">
      <t>カンリョウ</t>
    </rPh>
    <rPh sb="2" eb="4">
      <t>アンケン</t>
    </rPh>
    <phoneticPr fontId="1"/>
  </si>
  <si>
    <t>完了案件９</t>
    <rPh sb="0" eb="2">
      <t>カンリョウ</t>
    </rPh>
    <rPh sb="2" eb="4">
      <t>アンケン</t>
    </rPh>
    <phoneticPr fontId="1"/>
  </si>
  <si>
    <t>完了案件１０</t>
    <rPh sb="0" eb="2">
      <t>カンリョウ</t>
    </rPh>
    <rPh sb="2" eb="4">
      <t>アンケン</t>
    </rPh>
    <phoneticPr fontId="1"/>
  </si>
  <si>
    <t>P0002</t>
  </si>
  <si>
    <t>P0003</t>
  </si>
  <si>
    <t>P0004</t>
  </si>
  <si>
    <t>P0005</t>
  </si>
  <si>
    <t>P0006</t>
  </si>
  <si>
    <t>P0007</t>
  </si>
  <si>
    <t>P0008</t>
  </si>
  <si>
    <t>P0009</t>
  </si>
  <si>
    <t>P0010</t>
  </si>
  <si>
    <t>P0011</t>
  </si>
  <si>
    <t>P0012</t>
  </si>
  <si>
    <t>P0013</t>
  </si>
  <si>
    <t>P0014</t>
  </si>
  <si>
    <t>P0015</t>
  </si>
  <si>
    <t>P0016</t>
  </si>
  <si>
    <t>P0017</t>
  </si>
  <si>
    <t>P0018</t>
  </si>
  <si>
    <t>P0019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</si>
  <si>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</si>
  <si>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</si>
  <si>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</si>
  <si>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</si>
  <si>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</si>
  <si>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</si>
  <si>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</si>
  <si>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</si>
  <si>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P0028</t>
  </si>
  <si>
    <t>P0029</t>
  </si>
  <si>
    <t>案件概要</t>
    <phoneticPr fontId="1"/>
  </si>
  <si>
    <t>案件概要なし</t>
    <phoneticPr fontId="1"/>
  </si>
  <si>
    <t>作業場所</t>
    <phoneticPr fontId="1"/>
  </si>
  <si>
    <t>作業場所はどこですか？</t>
    <phoneticPr fontId="1"/>
  </si>
  <si>
    <t>全ての状態あり会社</t>
    <rPh sb="0" eb="1">
      <t>スベ</t>
    </rPh>
    <rPh sb="3" eb="5">
      <t>ジョウタイ</t>
    </rPh>
    <rPh sb="7" eb="9">
      <t>カイシャ</t>
    </rPh>
    <phoneticPr fontId="1"/>
  </si>
  <si>
    <t>予算審査案件あり会社</t>
    <rPh sb="4" eb="6">
      <t>アンケン</t>
    </rPh>
    <rPh sb="8" eb="10">
      <t>カイシャ</t>
    </rPh>
    <phoneticPr fontId="1"/>
  </si>
  <si>
    <t>予算確定</t>
    <phoneticPr fontId="1"/>
  </si>
  <si>
    <t>予算確定案件あり会社</t>
    <rPh sb="4" eb="6">
      <t>アンケン</t>
    </rPh>
    <rPh sb="8" eb="10">
      <t>カイシャ</t>
    </rPh>
    <phoneticPr fontId="1"/>
  </si>
  <si>
    <t>完了</t>
    <phoneticPr fontId="1"/>
  </si>
  <si>
    <t>完了案件会社</t>
    <rPh sb="2" eb="4">
      <t>アンケン</t>
    </rPh>
    <rPh sb="4" eb="6">
      <t>カイシャ</t>
    </rPh>
    <phoneticPr fontId="1"/>
  </si>
  <si>
    <t>test@example.com</t>
  </si>
  <si>
    <t>実施中案件あり会社の責任者</t>
  </si>
  <si>
    <t>実施中案件あり会社の連絡者</t>
  </si>
  <si>
    <t>提案中案件あり会社の責任者</t>
  </si>
  <si>
    <t>提案中案件あり会社の連絡者</t>
  </si>
  <si>
    <t>案件全部終了会社の責任者</t>
  </si>
  <si>
    <t>案件全部終了会社の連絡者</t>
  </si>
  <si>
    <t>全ての状態あり会社の責任者</t>
  </si>
  <si>
    <t>全ての状態あり会社の連絡者</t>
  </si>
  <si>
    <t>予算審査案件あり会社の責任者</t>
  </si>
  <si>
    <t>予算審査案件あり会社の連絡者</t>
  </si>
  <si>
    <t>予算確定案件あり会社の責任者</t>
  </si>
  <si>
    <t>予算確定案件あり会社の連絡者</t>
  </si>
  <si>
    <t>完了案件会社の責任者</t>
  </si>
  <si>
    <t>完了案件会社の連絡者</t>
  </si>
  <si>
    <t>07012345678</t>
    <phoneticPr fontId="1"/>
  </si>
  <si>
    <t>2014-08-18</t>
    <phoneticPr fontId="1"/>
  </si>
  <si>
    <t>2015-08-18</t>
    <phoneticPr fontId="1"/>
  </si>
  <si>
    <t>2014-12-01</t>
    <phoneticPr fontId="1"/>
  </si>
  <si>
    <t>案件ＩＤ</t>
    <phoneticPr fontId="1"/>
  </si>
  <si>
    <t>社員ＩＤ</t>
    <rPh sb="0" eb="2">
      <t>シャイン</t>
    </rPh>
    <phoneticPr fontId="1"/>
  </si>
  <si>
    <t>2014-09-01</t>
    <phoneticPr fontId="1"/>
  </si>
  <si>
    <t>2014-09-02</t>
  </si>
  <si>
    <t>2014-09-03</t>
  </si>
  <si>
    <t>2014-09-04</t>
  </si>
  <si>
    <t>2014-09-05</t>
  </si>
  <si>
    <t>2014-09-06</t>
  </si>
  <si>
    <t>2014-09-07</t>
  </si>
  <si>
    <t>2014-09-08</t>
  </si>
  <si>
    <t>2014-09-09</t>
  </si>
  <si>
    <t>2014-09-10</t>
  </si>
  <si>
    <t>2014-09-11</t>
  </si>
  <si>
    <t>2014-09-12</t>
  </si>
  <si>
    <t>2014-09-13</t>
  </si>
  <si>
    <t>2014-09-14</t>
  </si>
  <si>
    <t>2014-09-15</t>
  </si>
  <si>
    <t>2014-09-16</t>
  </si>
  <si>
    <t>2014-09-17</t>
  </si>
  <si>
    <t>2014-09-18</t>
  </si>
  <si>
    <t>2014-09-19</t>
  </si>
  <si>
    <t>2014-09-20</t>
  </si>
  <si>
    <t>2014-09-21</t>
  </si>
  <si>
    <t>2014-09-22</t>
  </si>
  <si>
    <t>2014-09-23</t>
  </si>
  <si>
    <t>2014-09-24</t>
  </si>
  <si>
    <t>2014-09-25</t>
  </si>
  <si>
    <t>2014-09-26</t>
  </si>
  <si>
    <t>2014-09-27</t>
  </si>
  <si>
    <t>2014-09-28</t>
  </si>
  <si>
    <t>2014-09-29</t>
  </si>
  <si>
    <t>2014-09-30</t>
  </si>
  <si>
    <t>2014-10-01</t>
    <phoneticPr fontId="1"/>
  </si>
  <si>
    <t>2014-10-02</t>
  </si>
  <si>
    <t>2014-10-03</t>
  </si>
  <si>
    <t>2014-10-04</t>
  </si>
  <si>
    <t>2014-10-05</t>
  </si>
  <si>
    <t>2014-10-06</t>
  </si>
  <si>
    <t>2014-10-07</t>
  </si>
  <si>
    <t>2014-10-08</t>
  </si>
  <si>
    <t>2014-10-09</t>
  </si>
  <si>
    <t>2014-10-10</t>
  </si>
  <si>
    <t>2014-10-11</t>
  </si>
  <si>
    <t>2014-10-12</t>
  </si>
  <si>
    <t>2014-10-13</t>
  </si>
  <si>
    <t>2014-10-14</t>
  </si>
  <si>
    <t>2014-10-15</t>
  </si>
  <si>
    <t>2014-10-16</t>
  </si>
  <si>
    <t>2014-10-17</t>
  </si>
  <si>
    <t>2014-10-18</t>
  </si>
  <si>
    <t>2014-10-19</t>
  </si>
  <si>
    <t>2014-10-20</t>
  </si>
  <si>
    <t>2014-10-21</t>
  </si>
  <si>
    <t>2014-10-22</t>
  </si>
  <si>
    <t>2014-10-23</t>
  </si>
  <si>
    <t>2014-10-24</t>
  </si>
  <si>
    <t>2014-10-25</t>
  </si>
  <si>
    <t>2014-10-26</t>
  </si>
  <si>
    <t>2014-10-27</t>
  </si>
  <si>
    <t>2014-10-28</t>
  </si>
  <si>
    <t>2014-10-29</t>
  </si>
  <si>
    <t>2014-10-30</t>
  </si>
  <si>
    <t>2014-10-31</t>
  </si>
  <si>
    <t>2014-11-01</t>
    <phoneticPr fontId="1"/>
  </si>
  <si>
    <t>2014-11-02</t>
  </si>
  <si>
    <t>2014-11-03</t>
  </si>
  <si>
    <t>2014-11-04</t>
  </si>
  <si>
    <t>2014-11-05</t>
  </si>
  <si>
    <t>2014-11-06</t>
  </si>
  <si>
    <t>2014-11-07</t>
  </si>
  <si>
    <t>2014-11-08</t>
  </si>
  <si>
    <t>2014-11-09</t>
  </si>
  <si>
    <t>2014-11-10</t>
  </si>
  <si>
    <t>2014-11-11</t>
  </si>
  <si>
    <t>2014-11-12</t>
  </si>
  <si>
    <t>2014-11-13</t>
  </si>
  <si>
    <t>2014-11-14</t>
  </si>
  <si>
    <t>ID</t>
    <phoneticPr fontId="1"/>
  </si>
  <si>
    <t>ID</t>
    <phoneticPr fontId="1"/>
  </si>
  <si>
    <t>NAME</t>
    <phoneticPr fontId="1"/>
  </si>
  <si>
    <t>ID</t>
    <phoneticPr fontId="1"/>
  </si>
  <si>
    <t>NAME</t>
    <phoneticPr fontId="1"/>
  </si>
  <si>
    <t>RELEASE_MONTH_COUNT</t>
  </si>
  <si>
    <t>NAME</t>
    <phoneticPr fontId="1"/>
  </si>
  <si>
    <t>COMPANY_ID</t>
    <phoneticPr fontId="1"/>
  </si>
  <si>
    <t>EMPLOYEE_ID</t>
    <phoneticPr fontId="1"/>
  </si>
  <si>
    <t>NAME</t>
    <phoneticPr fontId="1"/>
  </si>
  <si>
    <t>EMAIL</t>
    <phoneticPr fontId="1"/>
  </si>
  <si>
    <t>PHONE</t>
    <phoneticPr fontId="1"/>
  </si>
  <si>
    <t>SECTION_ID</t>
    <phoneticPr fontId="1"/>
  </si>
  <si>
    <t>SALESPERSON_ID</t>
    <phoneticPr fontId="1"/>
  </si>
  <si>
    <t>PROJECT_ID</t>
    <phoneticPr fontId="1"/>
  </si>
  <si>
    <t>DESCRIPTION</t>
    <phoneticPr fontId="1"/>
  </si>
  <si>
    <t>START_DATE</t>
    <phoneticPr fontId="1"/>
  </si>
  <si>
    <t>END_DATE</t>
    <phoneticPr fontId="1"/>
  </si>
  <si>
    <t>ADDRESS</t>
    <phoneticPr fontId="1"/>
  </si>
  <si>
    <t>STATUS_ID</t>
    <phoneticPr fontId="1"/>
  </si>
  <si>
    <t>CLIENT_ID</t>
    <phoneticPr fontId="1"/>
  </si>
  <si>
    <t>BOSS_ID</t>
    <phoneticPr fontId="1"/>
  </si>
  <si>
    <t>MIDDLEMAN_ID</t>
    <phoneticPr fontId="1"/>
  </si>
  <si>
    <t>MEMBER_ID</t>
    <phoneticPr fontId="1"/>
  </si>
  <si>
    <t>PRICE</t>
    <phoneticPr fontId="1"/>
  </si>
  <si>
    <t>STATUS</t>
    <phoneticPr fontId="1"/>
  </si>
  <si>
    <t>EMAIL</t>
    <phoneticPr fontId="1"/>
  </si>
  <si>
    <t>PHONE</t>
    <phoneticPr fontId="1"/>
  </si>
  <si>
    <t>COMPANY_ID</t>
    <phoneticPr fontId="1"/>
  </si>
  <si>
    <t>EB_SKILL</t>
    <phoneticPr fontId="1"/>
  </si>
  <si>
    <t>名称</t>
  </si>
  <si>
    <t>VB.NET</t>
    <phoneticPr fontId="1"/>
  </si>
  <si>
    <t>C#</t>
    <phoneticPr fontId="1"/>
  </si>
  <si>
    <t>Java</t>
    <phoneticPr fontId="1"/>
  </si>
  <si>
    <t>Javascript</t>
    <phoneticPr fontId="1"/>
  </si>
  <si>
    <t>HTML</t>
    <phoneticPr fontId="1"/>
  </si>
  <si>
    <t>CSS</t>
    <phoneticPr fontId="1"/>
  </si>
  <si>
    <t>VBA</t>
    <phoneticPr fontId="1"/>
  </si>
  <si>
    <t>C</t>
    <phoneticPr fontId="1"/>
  </si>
  <si>
    <t>C++</t>
    <phoneticPr fontId="1"/>
  </si>
  <si>
    <t>Python</t>
    <phoneticPr fontId="1"/>
  </si>
  <si>
    <t>Ruby</t>
    <phoneticPr fontId="1"/>
  </si>
  <si>
    <t>Perl</t>
    <phoneticPr fontId="1"/>
  </si>
  <si>
    <t>.NET Framework</t>
    <phoneticPr fontId="1"/>
  </si>
  <si>
    <t>Hiberate</t>
    <phoneticPr fontId="1"/>
  </si>
  <si>
    <t>Struts</t>
    <phoneticPr fontId="1"/>
  </si>
  <si>
    <t>Spring</t>
    <phoneticPr fontId="1"/>
  </si>
  <si>
    <t>IBatis</t>
    <phoneticPr fontId="1"/>
  </si>
  <si>
    <t>MyBatis</t>
    <phoneticPr fontId="1"/>
  </si>
  <si>
    <t>Django</t>
    <phoneticPr fontId="1"/>
  </si>
  <si>
    <t>PHP</t>
    <phoneticPr fontId="1"/>
  </si>
  <si>
    <t>Sql Server</t>
    <phoneticPr fontId="1"/>
  </si>
  <si>
    <t>Oracle</t>
    <phoneticPr fontId="1"/>
  </si>
  <si>
    <t>MySql</t>
    <phoneticPr fontId="1"/>
  </si>
  <si>
    <t>PostgreSql</t>
    <phoneticPr fontId="1"/>
  </si>
  <si>
    <t>EB_ProjectSkill</t>
    <phoneticPr fontId="1"/>
  </si>
  <si>
    <t>案件</t>
  </si>
  <si>
    <t>スキル</t>
  </si>
  <si>
    <t>経験年数</t>
  </si>
  <si>
    <t>備考</t>
  </si>
  <si>
    <t>project_id</t>
    <phoneticPr fontId="1"/>
  </si>
  <si>
    <t>skill_id</t>
    <phoneticPr fontId="1"/>
  </si>
  <si>
    <t>period</t>
  </si>
  <si>
    <t>description</t>
  </si>
  <si>
    <t>Jquery</t>
    <phoneticPr fontId="1"/>
  </si>
  <si>
    <t>Ajax</t>
    <phoneticPr fontId="1"/>
  </si>
  <si>
    <t>display_count</t>
  </si>
  <si>
    <t>１頁に表示するデータ件数</t>
  </si>
  <si>
    <t>需要非常精通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</si>
</sst>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0" fillId="0" borderId="0" xfId="0" applyNumberFormat="1">
      <alignment vertical="center"/>
    </xf>
    <xf numFmtId="14" fontId="0" fillId="0" borderId="0" xfId="0" quotePrefix="1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11</xdr:col>
          <xdr:colOff>200025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SQLを生成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1552575</xdr:colOff>
          <xdr:row>2</xdr:row>
          <xdr:rowOff>85725</xdr:rowOff>
        </xdr:from>
        <xdr:to>
          <xdr:col>2</xdr:col>
          <xdr:colOff>1228725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5"/>
  <sheetViews>
    <sheetView workbookViewId="0">
      <selection activeCell="L4" sqref="L4"/>
    </sheetView>
  </sheetViews>
  <sheetFormatPr defaultRowHeight="13.5" x14ac:dyDescent="0.15"/>
  <sheetData>
    <row r="1" spans="1:2" x14ac:dyDescent="0.15">
      <c r="A1" t="s">
        <v>2</v>
      </c>
    </row>
    <row r="9" spans="1:2" x14ac:dyDescent="0.15">
      <c r="A9" t="s">
        <v>819</v>
      </c>
      <c r="B9" t="s">
        <v>820</v>
      </c>
    </row>
    <row r="10" spans="1:2" s="1" customFormat="1" ht="21" customHeight="1" x14ac:dyDescent="0.15">
      <c r="A10" s="1" t="s">
        <v>818</v>
      </c>
      <c r="B10" s="1" t="s">
        <v>14</v>
      </c>
    </row>
    <row r="11" spans="1:2" x14ac:dyDescent="0.15">
      <c r="A11">
        <v>1</v>
      </c>
      <c r="B11" t="s">
        <v>0</v>
      </c>
    </row>
    <row r="12" spans="1:2" x14ac:dyDescent="0.15">
      <c r="A12">
        <v>2</v>
      </c>
      <c r="B12" t="s">
        <v>658</v>
      </c>
    </row>
    <row r="13" spans="1:2" x14ac:dyDescent="0.15">
      <c r="A13">
        <v>3</v>
      </c>
      <c r="B13" t="s">
        <v>718</v>
      </c>
    </row>
    <row r="14" spans="1:2" x14ac:dyDescent="0.15">
      <c r="A14">
        <v>4</v>
      </c>
      <c r="B14" t="s">
        <v>1</v>
      </c>
    </row>
    <row r="15" spans="1:2" x14ac:dyDescent="0.15">
      <c r="A15">
        <v>5</v>
      </c>
      <c r="B15" t="s">
        <v>720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ql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11</xdr:col>
                    <xdr:colOff>200025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"/>
  <sheetViews>
    <sheetView workbookViewId="0">
      <selection activeCell="D12" sqref="D12"/>
    </sheetView>
  </sheetViews>
  <sheetFormatPr defaultRowHeight="13.5" x14ac:dyDescent="0.15"/>
  <cols>
    <col min="2" max="2" width="21.125" bestFit="1" customWidth="1"/>
    <col min="3" max="3" width="24.125" bestFit="1" customWidth="1"/>
    <col min="4" max="4" width="23.5" bestFit="1" customWidth="1"/>
  </cols>
  <sheetData>
    <row r="1" spans="1:4" x14ac:dyDescent="0.15">
      <c r="A1" t="s">
        <v>3</v>
      </c>
    </row>
    <row r="9" spans="1:4" x14ac:dyDescent="0.15">
      <c r="A9" t="s">
        <v>821</v>
      </c>
      <c r="B9" t="s">
        <v>822</v>
      </c>
      <c r="C9" t="s">
        <v>823</v>
      </c>
      <c r="D9" t="s">
        <v>884</v>
      </c>
    </row>
    <row r="10" spans="1:4" s="1" customFormat="1" ht="21" customHeight="1" x14ac:dyDescent="0.15">
      <c r="A10" s="1" t="s">
        <v>818</v>
      </c>
      <c r="B10" s="1" t="s">
        <v>12</v>
      </c>
      <c r="C10" s="1" t="s">
        <v>13</v>
      </c>
      <c r="D10" s="1" t="s">
        <v>885</v>
      </c>
    </row>
    <row r="11" spans="1:4" x14ac:dyDescent="0.15">
      <c r="A11">
        <v>1</v>
      </c>
      <c r="B11" t="s">
        <v>4</v>
      </c>
      <c r="C11">
        <v>6</v>
      </c>
      <c r="D11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6"/>
  <sheetViews>
    <sheetView workbookViewId="0"/>
  </sheetViews>
  <sheetFormatPr defaultRowHeight="13.5" x14ac:dyDescent="0.15"/>
  <cols>
    <col min="3" max="3" width="12.75" bestFit="1" customWidth="1"/>
  </cols>
  <sheetData>
    <row r="1" spans="1:3" x14ac:dyDescent="0.15">
      <c r="A1" t="s">
        <v>5</v>
      </c>
    </row>
    <row r="9" spans="1:3" x14ac:dyDescent="0.15">
      <c r="A9" t="s">
        <v>821</v>
      </c>
      <c r="B9" t="s">
        <v>824</v>
      </c>
      <c r="C9" t="s">
        <v>825</v>
      </c>
    </row>
    <row r="10" spans="1:3" s="1" customFormat="1" ht="21" customHeight="1" x14ac:dyDescent="0.15">
      <c r="A10" s="1" t="s">
        <v>818</v>
      </c>
      <c r="B10" s="1" t="s">
        <v>15</v>
      </c>
      <c r="C10" s="1" t="s">
        <v>16</v>
      </c>
    </row>
    <row r="11" spans="1:3" x14ac:dyDescent="0.15">
      <c r="A11">
        <v>1</v>
      </c>
      <c r="B11" t="s">
        <v>6</v>
      </c>
      <c r="C11">
        <v>1</v>
      </c>
    </row>
    <row r="12" spans="1:3" x14ac:dyDescent="0.15">
      <c r="A12">
        <v>2</v>
      </c>
      <c r="B12" t="s">
        <v>7</v>
      </c>
      <c r="C12">
        <v>1</v>
      </c>
    </row>
    <row r="13" spans="1:3" x14ac:dyDescent="0.15">
      <c r="A13">
        <v>3</v>
      </c>
      <c r="B13" t="s">
        <v>8</v>
      </c>
      <c r="C13">
        <v>1</v>
      </c>
    </row>
    <row r="14" spans="1:3" x14ac:dyDescent="0.15">
      <c r="A14">
        <v>4</v>
      </c>
      <c r="B14" t="s">
        <v>9</v>
      </c>
      <c r="C14">
        <v>1</v>
      </c>
    </row>
    <row r="15" spans="1:3" x14ac:dyDescent="0.15">
      <c r="A15">
        <v>5</v>
      </c>
      <c r="B15" t="s">
        <v>10</v>
      </c>
      <c r="C15">
        <v>1</v>
      </c>
    </row>
    <row r="16" spans="1:3" x14ac:dyDescent="0.15">
      <c r="A16">
        <v>6</v>
      </c>
      <c r="B16" t="s">
        <v>11</v>
      </c>
      <c r="C16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/>
  </sheetViews>
  <sheetFormatPr defaultRowHeight="13.5" x14ac:dyDescent="0.15"/>
  <cols>
    <col min="2" max="2" width="13.125" bestFit="1" customWidth="1"/>
    <col min="3" max="3" width="15.125" bestFit="1" customWidth="1"/>
    <col min="4" max="4" width="18.875" bestFit="1" customWidth="1"/>
    <col min="5" max="6" width="12.75" bestFit="1" customWidth="1"/>
    <col min="7" max="7" width="11.625" bestFit="1" customWidth="1"/>
  </cols>
  <sheetData>
    <row r="1" spans="1:7" x14ac:dyDescent="0.15">
      <c r="A1" t="s">
        <v>37</v>
      </c>
    </row>
    <row r="9" spans="1:7" x14ac:dyDescent="0.15">
      <c r="A9" t="s">
        <v>821</v>
      </c>
      <c r="B9" t="s">
        <v>826</v>
      </c>
      <c r="C9" t="s">
        <v>827</v>
      </c>
      <c r="D9" t="s">
        <v>828</v>
      </c>
      <c r="E9" t="s">
        <v>829</v>
      </c>
      <c r="F9" t="s">
        <v>825</v>
      </c>
      <c r="G9" t="s">
        <v>830</v>
      </c>
    </row>
    <row r="10" spans="1:7" s="1" customFormat="1" ht="21" customHeight="1" x14ac:dyDescent="0.15">
      <c r="A10" s="1" t="s">
        <v>818</v>
      </c>
      <c r="B10" s="1" t="s">
        <v>21</v>
      </c>
      <c r="C10" s="1" t="s">
        <v>22</v>
      </c>
      <c r="D10" s="1" t="s">
        <v>23</v>
      </c>
      <c r="E10" s="1" t="s">
        <v>24</v>
      </c>
      <c r="F10" s="1" t="s">
        <v>16</v>
      </c>
      <c r="G10" s="1" t="s">
        <v>25</v>
      </c>
    </row>
    <row r="11" spans="1:7" x14ac:dyDescent="0.15">
      <c r="A11">
        <v>1</v>
      </c>
      <c r="B11" t="s">
        <v>40</v>
      </c>
      <c r="C11" t="s">
        <v>44</v>
      </c>
      <c r="D11" t="str">
        <f>B11 &amp; "@example.com"</f>
        <v>S0001@example.com</v>
      </c>
      <c r="E11" s="2" t="s">
        <v>46</v>
      </c>
      <c r="F11">
        <v>1</v>
      </c>
      <c r="G11">
        <v>6</v>
      </c>
    </row>
    <row r="12" spans="1:7" x14ac:dyDescent="0.15">
      <c r="A12">
        <v>2</v>
      </c>
      <c r="B12" t="s">
        <v>41</v>
      </c>
      <c r="C12" t="s">
        <v>47</v>
      </c>
      <c r="D12" t="str">
        <f t="shared" ref="D12:D14" si="0">B12 &amp; "@example.com"</f>
        <v>S0002@example.com</v>
      </c>
      <c r="E12" s="2" t="s">
        <v>46</v>
      </c>
      <c r="F12">
        <v>1</v>
      </c>
      <c r="G12">
        <v>6</v>
      </c>
    </row>
    <row r="13" spans="1:7" x14ac:dyDescent="0.15">
      <c r="A13">
        <v>3</v>
      </c>
      <c r="B13" t="s">
        <v>42</v>
      </c>
      <c r="C13" t="s">
        <v>48</v>
      </c>
      <c r="D13" t="str">
        <f t="shared" si="0"/>
        <v>S0003@example.com</v>
      </c>
      <c r="E13" s="2" t="s">
        <v>46</v>
      </c>
      <c r="F13">
        <v>1</v>
      </c>
      <c r="G13">
        <v>6</v>
      </c>
    </row>
    <row r="14" spans="1:7" x14ac:dyDescent="0.15">
      <c r="A14">
        <v>4</v>
      </c>
      <c r="B14" t="s">
        <v>43</v>
      </c>
      <c r="C14" t="s">
        <v>49</v>
      </c>
      <c r="D14" t="str">
        <f t="shared" si="0"/>
        <v>S0004@example.com</v>
      </c>
      <c r="E14" s="2" t="s">
        <v>46</v>
      </c>
      <c r="F14">
        <v>1</v>
      </c>
      <c r="G14">
        <v>6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11"/>
  <sheetViews>
    <sheetView topLeftCell="A214" workbookViewId="0">
      <selection activeCell="A229" sqref="A229"/>
    </sheetView>
  </sheetViews>
  <sheetFormatPr defaultRowHeight="13.5" x14ac:dyDescent="0.15"/>
  <cols>
    <col min="2" max="2" width="13.125" bestFit="1" customWidth="1"/>
    <col min="3" max="3" width="18.875" bestFit="1" customWidth="1"/>
    <col min="4" max="4" width="18.75" bestFit="1" customWidth="1"/>
    <col min="5" max="6" width="12.75" bestFit="1" customWidth="1"/>
    <col min="7" max="7" width="11.625" bestFit="1" customWidth="1"/>
    <col min="8" max="8" width="16.875" bestFit="1" customWidth="1"/>
  </cols>
  <sheetData>
    <row r="1" spans="1:8" x14ac:dyDescent="0.15">
      <c r="A1" t="s">
        <v>20</v>
      </c>
    </row>
    <row r="9" spans="1:8" x14ac:dyDescent="0.15">
      <c r="A9" t="s">
        <v>821</v>
      </c>
      <c r="B9" t="s">
        <v>826</v>
      </c>
      <c r="C9" t="s">
        <v>827</v>
      </c>
      <c r="D9" t="s">
        <v>828</v>
      </c>
      <c r="E9" t="s">
        <v>829</v>
      </c>
      <c r="F9" t="s">
        <v>830</v>
      </c>
      <c r="G9" t="s">
        <v>846</v>
      </c>
      <c r="H9" t="s">
        <v>831</v>
      </c>
    </row>
    <row r="10" spans="1:8" s="1" customFormat="1" ht="21" customHeight="1" x14ac:dyDescent="0.15">
      <c r="A10" s="1" t="s">
        <v>818</v>
      </c>
      <c r="B10" s="1" t="s">
        <v>21</v>
      </c>
      <c r="C10" s="1" t="s">
        <v>22</v>
      </c>
      <c r="D10" s="1" t="s">
        <v>23</v>
      </c>
      <c r="E10" s="1" t="s">
        <v>24</v>
      </c>
      <c r="F10" s="1" t="s">
        <v>25</v>
      </c>
      <c r="G10" s="1" t="s">
        <v>16</v>
      </c>
      <c r="H10" s="1" t="s">
        <v>26</v>
      </c>
    </row>
    <row r="11" spans="1:8" x14ac:dyDescent="0.15">
      <c r="A11">
        <v>1</v>
      </c>
      <c r="B11" t="s">
        <v>50</v>
      </c>
      <c r="C11" t="s">
        <v>434</v>
      </c>
      <c r="D11" t="str">
        <f>B11 &amp; "@example.com"</f>
        <v>E0001@example.com</v>
      </c>
      <c r="E11" s="2" t="s">
        <v>737</v>
      </c>
      <c r="F11">
        <v>1</v>
      </c>
      <c r="G11">
        <v>1</v>
      </c>
      <c r="H11">
        <v>1</v>
      </c>
    </row>
    <row r="12" spans="1:8" x14ac:dyDescent="0.15">
      <c r="A12">
        <v>2</v>
      </c>
      <c r="B12" t="s">
        <v>51</v>
      </c>
      <c r="C12" t="s">
        <v>435</v>
      </c>
      <c r="D12" t="str">
        <f t="shared" ref="D12:D75" si="0">B12 &amp; "@example.com"</f>
        <v>E0002@example.com</v>
      </c>
      <c r="E12" s="2" t="s">
        <v>737</v>
      </c>
      <c r="F12">
        <v>1</v>
      </c>
      <c r="G12">
        <v>1</v>
      </c>
      <c r="H12">
        <v>1</v>
      </c>
    </row>
    <row r="13" spans="1:8" x14ac:dyDescent="0.15">
      <c r="A13">
        <v>3</v>
      </c>
      <c r="B13" t="s">
        <v>52</v>
      </c>
      <c r="C13" t="s">
        <v>436</v>
      </c>
      <c r="D13" t="str">
        <f t="shared" si="0"/>
        <v>E0003@example.com</v>
      </c>
      <c r="E13" s="2" t="s">
        <v>737</v>
      </c>
      <c r="F13">
        <v>1</v>
      </c>
      <c r="G13">
        <v>1</v>
      </c>
      <c r="H13">
        <v>1</v>
      </c>
    </row>
    <row r="14" spans="1:8" x14ac:dyDescent="0.15">
      <c r="A14">
        <v>4</v>
      </c>
      <c r="B14" t="s">
        <v>53</v>
      </c>
      <c r="C14" t="s">
        <v>437</v>
      </c>
      <c r="D14" t="str">
        <f t="shared" si="0"/>
        <v>E0004@example.com</v>
      </c>
      <c r="E14" s="2" t="s">
        <v>737</v>
      </c>
      <c r="F14">
        <v>1</v>
      </c>
      <c r="G14">
        <v>1</v>
      </c>
      <c r="H14">
        <v>1</v>
      </c>
    </row>
    <row r="15" spans="1:8" x14ac:dyDescent="0.15">
      <c r="A15">
        <v>5</v>
      </c>
      <c r="B15" t="s">
        <v>54</v>
      </c>
      <c r="C15" t="s">
        <v>438</v>
      </c>
      <c r="D15" t="str">
        <f t="shared" si="0"/>
        <v>E0005@example.com</v>
      </c>
      <c r="E15" s="2" t="s">
        <v>737</v>
      </c>
      <c r="F15">
        <v>1</v>
      </c>
      <c r="G15">
        <v>1</v>
      </c>
      <c r="H15">
        <v>1</v>
      </c>
    </row>
    <row r="16" spans="1:8" x14ac:dyDescent="0.15">
      <c r="A16">
        <v>6</v>
      </c>
      <c r="B16" t="s">
        <v>55</v>
      </c>
      <c r="C16" t="s">
        <v>439</v>
      </c>
      <c r="D16" t="str">
        <f t="shared" si="0"/>
        <v>E0006@example.com</v>
      </c>
      <c r="E16" s="2" t="s">
        <v>737</v>
      </c>
      <c r="F16">
        <v>1</v>
      </c>
      <c r="G16">
        <v>1</v>
      </c>
      <c r="H16">
        <v>1</v>
      </c>
    </row>
    <row r="17" spans="1:8" x14ac:dyDescent="0.15">
      <c r="A17">
        <v>7</v>
      </c>
      <c r="B17" t="s">
        <v>56</v>
      </c>
      <c r="C17" t="s">
        <v>440</v>
      </c>
      <c r="D17" t="str">
        <f t="shared" si="0"/>
        <v>E0007@example.com</v>
      </c>
      <c r="E17" s="2" t="s">
        <v>737</v>
      </c>
      <c r="F17">
        <v>1</v>
      </c>
      <c r="G17">
        <v>1</v>
      </c>
      <c r="H17">
        <v>1</v>
      </c>
    </row>
    <row r="18" spans="1:8" x14ac:dyDescent="0.15">
      <c r="A18">
        <v>8</v>
      </c>
      <c r="B18" t="s">
        <v>57</v>
      </c>
      <c r="C18" t="s">
        <v>441</v>
      </c>
      <c r="D18" t="str">
        <f t="shared" si="0"/>
        <v>E0008@example.com</v>
      </c>
      <c r="E18" s="2" t="s">
        <v>737</v>
      </c>
      <c r="F18">
        <v>1</v>
      </c>
      <c r="G18">
        <v>1</v>
      </c>
      <c r="H18">
        <v>1</v>
      </c>
    </row>
    <row r="19" spans="1:8" x14ac:dyDescent="0.15">
      <c r="A19">
        <v>9</v>
      </c>
      <c r="B19" t="s">
        <v>58</v>
      </c>
      <c r="C19" t="s">
        <v>442</v>
      </c>
      <c r="D19" t="str">
        <f t="shared" si="0"/>
        <v>E0009@example.com</v>
      </c>
      <c r="E19" s="2" t="s">
        <v>737</v>
      </c>
      <c r="F19">
        <v>1</v>
      </c>
      <c r="G19">
        <v>1</v>
      </c>
      <c r="H19">
        <v>1</v>
      </c>
    </row>
    <row r="20" spans="1:8" x14ac:dyDescent="0.15">
      <c r="A20">
        <v>10</v>
      </c>
      <c r="B20" t="s">
        <v>59</v>
      </c>
      <c r="C20" t="s">
        <v>443</v>
      </c>
      <c r="D20" t="str">
        <f t="shared" si="0"/>
        <v>E0010@example.com</v>
      </c>
      <c r="E20" s="2" t="s">
        <v>737</v>
      </c>
      <c r="F20">
        <v>1</v>
      </c>
      <c r="G20">
        <v>1</v>
      </c>
      <c r="H20">
        <v>1</v>
      </c>
    </row>
    <row r="21" spans="1:8" x14ac:dyDescent="0.15">
      <c r="A21">
        <v>11</v>
      </c>
      <c r="B21" t="s">
        <v>60</v>
      </c>
      <c r="C21" t="s">
        <v>444</v>
      </c>
      <c r="D21" t="str">
        <f t="shared" si="0"/>
        <v>E0011@example.com</v>
      </c>
      <c r="E21" s="2" t="s">
        <v>737</v>
      </c>
      <c r="F21">
        <v>1</v>
      </c>
      <c r="G21">
        <v>1</v>
      </c>
      <c r="H21">
        <v>1</v>
      </c>
    </row>
    <row r="22" spans="1:8" x14ac:dyDescent="0.15">
      <c r="A22">
        <v>12</v>
      </c>
      <c r="B22" t="s">
        <v>61</v>
      </c>
      <c r="C22" t="s">
        <v>445</v>
      </c>
      <c r="D22" t="str">
        <f t="shared" si="0"/>
        <v>E0012@example.com</v>
      </c>
      <c r="E22" s="2" t="s">
        <v>737</v>
      </c>
      <c r="F22">
        <v>1</v>
      </c>
      <c r="G22">
        <v>1</v>
      </c>
      <c r="H22">
        <v>1</v>
      </c>
    </row>
    <row r="23" spans="1:8" x14ac:dyDescent="0.15">
      <c r="A23">
        <v>13</v>
      </c>
      <c r="B23" t="s">
        <v>62</v>
      </c>
      <c r="C23" t="s">
        <v>446</v>
      </c>
      <c r="D23" t="str">
        <f t="shared" si="0"/>
        <v>E0013@example.com</v>
      </c>
      <c r="E23" s="2" t="s">
        <v>737</v>
      </c>
      <c r="F23">
        <v>1</v>
      </c>
      <c r="G23">
        <v>1</v>
      </c>
      <c r="H23">
        <v>1</v>
      </c>
    </row>
    <row r="24" spans="1:8" x14ac:dyDescent="0.15">
      <c r="A24">
        <v>14</v>
      </c>
      <c r="B24" t="s">
        <v>63</v>
      </c>
      <c r="C24" t="s">
        <v>447</v>
      </c>
      <c r="D24" t="str">
        <f t="shared" si="0"/>
        <v>E0014@example.com</v>
      </c>
      <c r="E24" s="2" t="s">
        <v>737</v>
      </c>
      <c r="F24">
        <v>1</v>
      </c>
      <c r="G24">
        <v>1</v>
      </c>
      <c r="H24">
        <v>1</v>
      </c>
    </row>
    <row r="25" spans="1:8" x14ac:dyDescent="0.15">
      <c r="A25">
        <v>15</v>
      </c>
      <c r="B25" t="s">
        <v>64</v>
      </c>
      <c r="C25" t="s">
        <v>448</v>
      </c>
      <c r="D25" t="str">
        <f t="shared" si="0"/>
        <v>E0015@example.com</v>
      </c>
      <c r="E25" s="2" t="s">
        <v>737</v>
      </c>
      <c r="F25">
        <v>1</v>
      </c>
      <c r="G25">
        <v>1</v>
      </c>
      <c r="H25">
        <v>1</v>
      </c>
    </row>
    <row r="26" spans="1:8" x14ac:dyDescent="0.15">
      <c r="A26">
        <v>16</v>
      </c>
      <c r="B26" t="s">
        <v>65</v>
      </c>
      <c r="C26" t="s">
        <v>449</v>
      </c>
      <c r="D26" t="str">
        <f t="shared" si="0"/>
        <v>E0016@example.com</v>
      </c>
      <c r="E26" s="2" t="s">
        <v>737</v>
      </c>
      <c r="F26">
        <v>1</v>
      </c>
      <c r="G26">
        <v>1</v>
      </c>
      <c r="H26">
        <v>1</v>
      </c>
    </row>
    <row r="27" spans="1:8" x14ac:dyDescent="0.15">
      <c r="A27">
        <v>17</v>
      </c>
      <c r="B27" t="s">
        <v>66</v>
      </c>
      <c r="C27" t="s">
        <v>450</v>
      </c>
      <c r="D27" t="str">
        <f t="shared" si="0"/>
        <v>E0017@example.com</v>
      </c>
      <c r="E27" s="2" t="s">
        <v>737</v>
      </c>
      <c r="F27">
        <v>1</v>
      </c>
      <c r="G27">
        <v>1</v>
      </c>
      <c r="H27">
        <v>1</v>
      </c>
    </row>
    <row r="28" spans="1:8" x14ac:dyDescent="0.15">
      <c r="A28">
        <v>18</v>
      </c>
      <c r="B28" t="s">
        <v>67</v>
      </c>
      <c r="C28" t="s">
        <v>451</v>
      </c>
      <c r="D28" t="str">
        <f t="shared" si="0"/>
        <v>E0018@example.com</v>
      </c>
      <c r="E28" s="2" t="s">
        <v>737</v>
      </c>
      <c r="F28">
        <v>1</v>
      </c>
      <c r="G28">
        <v>1</v>
      </c>
      <c r="H28">
        <v>1</v>
      </c>
    </row>
    <row r="29" spans="1:8" x14ac:dyDescent="0.15">
      <c r="A29">
        <v>19</v>
      </c>
      <c r="B29" t="s">
        <v>68</v>
      </c>
      <c r="C29" t="s">
        <v>452</v>
      </c>
      <c r="D29" t="str">
        <f t="shared" si="0"/>
        <v>E0019@example.com</v>
      </c>
      <c r="E29" s="2" t="s">
        <v>737</v>
      </c>
      <c r="F29">
        <v>1</v>
      </c>
      <c r="G29">
        <v>1</v>
      </c>
      <c r="H29">
        <v>1</v>
      </c>
    </row>
    <row r="30" spans="1:8" x14ac:dyDescent="0.15">
      <c r="A30">
        <v>20</v>
      </c>
      <c r="B30" t="s">
        <v>69</v>
      </c>
      <c r="C30" t="s">
        <v>453</v>
      </c>
      <c r="D30" t="str">
        <f t="shared" si="0"/>
        <v>E0020@example.com</v>
      </c>
      <c r="E30" s="2" t="s">
        <v>737</v>
      </c>
      <c r="F30">
        <v>1</v>
      </c>
      <c r="G30">
        <v>1</v>
      </c>
      <c r="H30">
        <v>1</v>
      </c>
    </row>
    <row r="31" spans="1:8" x14ac:dyDescent="0.15">
      <c r="A31">
        <v>21</v>
      </c>
      <c r="B31" t="s">
        <v>70</v>
      </c>
      <c r="C31" t="s">
        <v>454</v>
      </c>
      <c r="D31" t="str">
        <f t="shared" si="0"/>
        <v>E0021@example.com</v>
      </c>
      <c r="E31" s="2" t="s">
        <v>737</v>
      </c>
      <c r="F31">
        <v>1</v>
      </c>
      <c r="G31">
        <v>1</v>
      </c>
      <c r="H31">
        <v>1</v>
      </c>
    </row>
    <row r="32" spans="1:8" x14ac:dyDescent="0.15">
      <c r="A32">
        <v>22</v>
      </c>
      <c r="B32" t="s">
        <v>71</v>
      </c>
      <c r="C32" t="s">
        <v>455</v>
      </c>
      <c r="D32" t="str">
        <f t="shared" si="0"/>
        <v>E0022@example.com</v>
      </c>
      <c r="E32" s="2" t="s">
        <v>737</v>
      </c>
      <c r="F32">
        <v>1</v>
      </c>
      <c r="G32">
        <v>1</v>
      </c>
      <c r="H32">
        <v>1</v>
      </c>
    </row>
    <row r="33" spans="1:8" x14ac:dyDescent="0.15">
      <c r="A33">
        <v>23</v>
      </c>
      <c r="B33" t="s">
        <v>72</v>
      </c>
      <c r="C33" t="s">
        <v>456</v>
      </c>
      <c r="D33" t="str">
        <f t="shared" si="0"/>
        <v>E0023@example.com</v>
      </c>
      <c r="E33" s="2" t="s">
        <v>737</v>
      </c>
      <c r="F33">
        <v>1</v>
      </c>
      <c r="G33">
        <v>1</v>
      </c>
      <c r="H33">
        <v>1</v>
      </c>
    </row>
    <row r="34" spans="1:8" x14ac:dyDescent="0.15">
      <c r="A34">
        <v>24</v>
      </c>
      <c r="B34" t="s">
        <v>73</v>
      </c>
      <c r="C34" t="s">
        <v>457</v>
      </c>
      <c r="D34" t="str">
        <f t="shared" si="0"/>
        <v>E0024@example.com</v>
      </c>
      <c r="E34" s="2" t="s">
        <v>737</v>
      </c>
      <c r="F34">
        <v>1</v>
      </c>
      <c r="G34">
        <v>1</v>
      </c>
      <c r="H34">
        <v>1</v>
      </c>
    </row>
    <row r="35" spans="1:8" x14ac:dyDescent="0.15">
      <c r="A35">
        <v>25</v>
      </c>
      <c r="B35" t="s">
        <v>74</v>
      </c>
      <c r="C35" t="s">
        <v>458</v>
      </c>
      <c r="D35" t="str">
        <f t="shared" si="0"/>
        <v>E0025@example.com</v>
      </c>
      <c r="E35" s="2" t="s">
        <v>737</v>
      </c>
      <c r="F35">
        <v>1</v>
      </c>
      <c r="G35">
        <v>1</v>
      </c>
      <c r="H35">
        <v>1</v>
      </c>
    </row>
    <row r="36" spans="1:8" x14ac:dyDescent="0.15">
      <c r="A36">
        <v>26</v>
      </c>
      <c r="B36" t="s">
        <v>75</v>
      </c>
      <c r="C36" t="s">
        <v>459</v>
      </c>
      <c r="D36" t="str">
        <f t="shared" si="0"/>
        <v>E0026@example.com</v>
      </c>
      <c r="E36" s="2" t="s">
        <v>737</v>
      </c>
      <c r="F36">
        <v>1</v>
      </c>
      <c r="G36">
        <v>1</v>
      </c>
      <c r="H36">
        <v>1</v>
      </c>
    </row>
    <row r="37" spans="1:8" x14ac:dyDescent="0.15">
      <c r="A37">
        <v>27</v>
      </c>
      <c r="B37" t="s">
        <v>76</v>
      </c>
      <c r="C37" t="s">
        <v>460</v>
      </c>
      <c r="D37" t="str">
        <f t="shared" si="0"/>
        <v>E0027@example.com</v>
      </c>
      <c r="E37" s="2" t="s">
        <v>737</v>
      </c>
      <c r="F37">
        <v>1</v>
      </c>
      <c r="G37">
        <v>1</v>
      </c>
      <c r="H37">
        <v>1</v>
      </c>
    </row>
    <row r="38" spans="1:8" x14ac:dyDescent="0.15">
      <c r="A38">
        <v>28</v>
      </c>
      <c r="B38" t="s">
        <v>77</v>
      </c>
      <c r="C38" t="s">
        <v>461</v>
      </c>
      <c r="D38" t="str">
        <f t="shared" si="0"/>
        <v>E0028@example.com</v>
      </c>
      <c r="E38" s="2" t="s">
        <v>737</v>
      </c>
      <c r="F38">
        <v>1</v>
      </c>
      <c r="G38">
        <v>1</v>
      </c>
      <c r="H38">
        <v>1</v>
      </c>
    </row>
    <row r="39" spans="1:8" x14ac:dyDescent="0.15">
      <c r="A39">
        <v>29</v>
      </c>
      <c r="B39" t="s">
        <v>78</v>
      </c>
      <c r="C39" t="s">
        <v>462</v>
      </c>
      <c r="D39" t="str">
        <f t="shared" si="0"/>
        <v>E0029@example.com</v>
      </c>
      <c r="E39" s="2" t="s">
        <v>737</v>
      </c>
      <c r="F39">
        <v>1</v>
      </c>
      <c r="G39">
        <v>1</v>
      </c>
      <c r="H39">
        <v>1</v>
      </c>
    </row>
    <row r="40" spans="1:8" x14ac:dyDescent="0.15">
      <c r="A40">
        <v>30</v>
      </c>
      <c r="B40" t="s">
        <v>79</v>
      </c>
      <c r="C40" t="s">
        <v>463</v>
      </c>
      <c r="D40" t="str">
        <f t="shared" si="0"/>
        <v>E0030@example.com</v>
      </c>
      <c r="E40" s="2" t="s">
        <v>737</v>
      </c>
      <c r="F40">
        <v>1</v>
      </c>
      <c r="G40">
        <v>1</v>
      </c>
      <c r="H40">
        <v>1</v>
      </c>
    </row>
    <row r="41" spans="1:8" x14ac:dyDescent="0.15">
      <c r="A41">
        <v>31</v>
      </c>
      <c r="B41" t="s">
        <v>80</v>
      </c>
      <c r="C41" t="s">
        <v>464</v>
      </c>
      <c r="D41" t="str">
        <f t="shared" si="0"/>
        <v>E0031@example.com</v>
      </c>
      <c r="E41" s="2" t="s">
        <v>737</v>
      </c>
      <c r="F41">
        <v>1</v>
      </c>
      <c r="G41">
        <v>1</v>
      </c>
      <c r="H41">
        <v>1</v>
      </c>
    </row>
    <row r="42" spans="1:8" x14ac:dyDescent="0.15">
      <c r="A42">
        <v>32</v>
      </c>
      <c r="B42" t="s">
        <v>81</v>
      </c>
      <c r="C42" t="s">
        <v>465</v>
      </c>
      <c r="D42" t="str">
        <f t="shared" si="0"/>
        <v>E0032@example.com</v>
      </c>
      <c r="E42" s="2" t="s">
        <v>737</v>
      </c>
      <c r="F42">
        <v>1</v>
      </c>
      <c r="G42">
        <v>1</v>
      </c>
      <c r="H42">
        <v>1</v>
      </c>
    </row>
    <row r="43" spans="1:8" x14ac:dyDescent="0.15">
      <c r="A43">
        <v>33</v>
      </c>
      <c r="B43" t="s">
        <v>82</v>
      </c>
      <c r="C43" t="s">
        <v>466</v>
      </c>
      <c r="D43" t="str">
        <f t="shared" si="0"/>
        <v>E0033@example.com</v>
      </c>
      <c r="E43" s="2" t="s">
        <v>737</v>
      </c>
      <c r="F43">
        <v>1</v>
      </c>
      <c r="G43">
        <v>1</v>
      </c>
      <c r="H43">
        <v>1</v>
      </c>
    </row>
    <row r="44" spans="1:8" x14ac:dyDescent="0.15">
      <c r="A44">
        <v>34</v>
      </c>
      <c r="B44" t="s">
        <v>83</v>
      </c>
      <c r="C44" t="s">
        <v>467</v>
      </c>
      <c r="D44" t="str">
        <f t="shared" si="0"/>
        <v>E0034@example.com</v>
      </c>
      <c r="E44" s="2" t="s">
        <v>737</v>
      </c>
      <c r="F44">
        <v>1</v>
      </c>
      <c r="G44">
        <v>1</v>
      </c>
      <c r="H44">
        <v>1</v>
      </c>
    </row>
    <row r="45" spans="1:8" x14ac:dyDescent="0.15">
      <c r="A45">
        <v>35</v>
      </c>
      <c r="B45" t="s">
        <v>84</v>
      </c>
      <c r="C45" t="s">
        <v>468</v>
      </c>
      <c r="D45" t="str">
        <f t="shared" si="0"/>
        <v>E0035@example.com</v>
      </c>
      <c r="E45" s="2" t="s">
        <v>737</v>
      </c>
      <c r="F45">
        <v>1</v>
      </c>
      <c r="G45">
        <v>1</v>
      </c>
      <c r="H45">
        <v>1</v>
      </c>
    </row>
    <row r="46" spans="1:8" x14ac:dyDescent="0.15">
      <c r="A46">
        <v>36</v>
      </c>
      <c r="B46" t="s">
        <v>85</v>
      </c>
      <c r="C46" t="s">
        <v>469</v>
      </c>
      <c r="D46" t="str">
        <f t="shared" si="0"/>
        <v>E0036@example.com</v>
      </c>
      <c r="E46" s="2" t="s">
        <v>737</v>
      </c>
      <c r="F46">
        <v>1</v>
      </c>
      <c r="G46">
        <v>1</v>
      </c>
      <c r="H46">
        <v>1</v>
      </c>
    </row>
    <row r="47" spans="1:8" x14ac:dyDescent="0.15">
      <c r="A47">
        <v>37</v>
      </c>
      <c r="B47" t="s">
        <v>86</v>
      </c>
      <c r="C47" t="s">
        <v>470</v>
      </c>
      <c r="D47" t="str">
        <f t="shared" si="0"/>
        <v>E0037@example.com</v>
      </c>
      <c r="E47" s="2" t="s">
        <v>737</v>
      </c>
      <c r="F47">
        <v>1</v>
      </c>
      <c r="G47">
        <v>1</v>
      </c>
      <c r="H47">
        <v>1</v>
      </c>
    </row>
    <row r="48" spans="1:8" x14ac:dyDescent="0.15">
      <c r="A48">
        <v>38</v>
      </c>
      <c r="B48" t="s">
        <v>87</v>
      </c>
      <c r="C48" t="s">
        <v>471</v>
      </c>
      <c r="D48" t="str">
        <f t="shared" si="0"/>
        <v>E0038@example.com</v>
      </c>
      <c r="E48" s="2" t="s">
        <v>737</v>
      </c>
      <c r="F48">
        <v>1</v>
      </c>
      <c r="G48">
        <v>1</v>
      </c>
      <c r="H48">
        <v>1</v>
      </c>
    </row>
    <row r="49" spans="1:8" x14ac:dyDescent="0.15">
      <c r="A49">
        <v>39</v>
      </c>
      <c r="B49" t="s">
        <v>88</v>
      </c>
      <c r="C49" t="s">
        <v>472</v>
      </c>
      <c r="D49" t="str">
        <f t="shared" si="0"/>
        <v>E0039@example.com</v>
      </c>
      <c r="E49" s="2" t="s">
        <v>737</v>
      </c>
      <c r="F49">
        <v>1</v>
      </c>
      <c r="G49">
        <v>1</v>
      </c>
      <c r="H49">
        <v>1</v>
      </c>
    </row>
    <row r="50" spans="1:8" x14ac:dyDescent="0.15">
      <c r="A50">
        <v>40</v>
      </c>
      <c r="B50" t="s">
        <v>89</v>
      </c>
      <c r="C50" t="s">
        <v>473</v>
      </c>
      <c r="D50" t="str">
        <f t="shared" si="0"/>
        <v>E0040@example.com</v>
      </c>
      <c r="E50" s="2" t="s">
        <v>737</v>
      </c>
      <c r="F50">
        <v>1</v>
      </c>
      <c r="G50">
        <v>1</v>
      </c>
      <c r="H50">
        <v>1</v>
      </c>
    </row>
    <row r="51" spans="1:8" x14ac:dyDescent="0.15">
      <c r="A51">
        <v>41</v>
      </c>
      <c r="B51" t="s">
        <v>90</v>
      </c>
      <c r="C51" t="s">
        <v>474</v>
      </c>
      <c r="D51" t="str">
        <f t="shared" si="0"/>
        <v>E0041@example.com</v>
      </c>
      <c r="E51" s="2" t="s">
        <v>737</v>
      </c>
      <c r="F51">
        <v>1</v>
      </c>
      <c r="G51">
        <v>1</v>
      </c>
      <c r="H51">
        <v>1</v>
      </c>
    </row>
    <row r="52" spans="1:8" x14ac:dyDescent="0.15">
      <c r="A52">
        <v>42</v>
      </c>
      <c r="B52" t="s">
        <v>91</v>
      </c>
      <c r="C52" t="s">
        <v>475</v>
      </c>
      <c r="D52" t="str">
        <f t="shared" si="0"/>
        <v>E0042@example.com</v>
      </c>
      <c r="E52" s="2" t="s">
        <v>737</v>
      </c>
      <c r="F52">
        <v>1</v>
      </c>
      <c r="G52">
        <v>1</v>
      </c>
      <c r="H52">
        <v>1</v>
      </c>
    </row>
    <row r="53" spans="1:8" x14ac:dyDescent="0.15">
      <c r="A53">
        <v>43</v>
      </c>
      <c r="B53" t="s">
        <v>92</v>
      </c>
      <c r="C53" t="s">
        <v>476</v>
      </c>
      <c r="D53" t="str">
        <f t="shared" si="0"/>
        <v>E0043@example.com</v>
      </c>
      <c r="E53" s="2" t="s">
        <v>737</v>
      </c>
      <c r="F53">
        <v>1</v>
      </c>
      <c r="G53">
        <v>1</v>
      </c>
      <c r="H53">
        <v>1</v>
      </c>
    </row>
    <row r="54" spans="1:8" x14ac:dyDescent="0.15">
      <c r="A54">
        <v>44</v>
      </c>
      <c r="B54" t="s">
        <v>93</v>
      </c>
      <c r="C54" t="s">
        <v>477</v>
      </c>
      <c r="D54" t="str">
        <f t="shared" si="0"/>
        <v>E0044@example.com</v>
      </c>
      <c r="E54" s="2" t="s">
        <v>737</v>
      </c>
      <c r="F54">
        <v>1</v>
      </c>
      <c r="G54">
        <v>1</v>
      </c>
      <c r="H54">
        <v>1</v>
      </c>
    </row>
    <row r="55" spans="1:8" x14ac:dyDescent="0.15">
      <c r="A55">
        <v>45</v>
      </c>
      <c r="B55" t="s">
        <v>94</v>
      </c>
      <c r="C55" t="s">
        <v>478</v>
      </c>
      <c r="D55" t="str">
        <f t="shared" si="0"/>
        <v>E0045@example.com</v>
      </c>
      <c r="E55" s="2" t="s">
        <v>737</v>
      </c>
      <c r="F55">
        <v>1</v>
      </c>
      <c r="G55">
        <v>1</v>
      </c>
      <c r="H55">
        <v>1</v>
      </c>
    </row>
    <row r="56" spans="1:8" x14ac:dyDescent="0.15">
      <c r="A56">
        <v>46</v>
      </c>
      <c r="B56" t="s">
        <v>95</v>
      </c>
      <c r="C56" t="s">
        <v>479</v>
      </c>
      <c r="D56" t="str">
        <f t="shared" si="0"/>
        <v>E0046@example.com</v>
      </c>
      <c r="E56" s="2" t="s">
        <v>737</v>
      </c>
      <c r="F56">
        <v>1</v>
      </c>
      <c r="G56">
        <v>1</v>
      </c>
      <c r="H56">
        <v>1</v>
      </c>
    </row>
    <row r="57" spans="1:8" x14ac:dyDescent="0.15">
      <c r="A57">
        <v>47</v>
      </c>
      <c r="B57" t="s">
        <v>96</v>
      </c>
      <c r="C57" t="s">
        <v>480</v>
      </c>
      <c r="D57" t="str">
        <f t="shared" si="0"/>
        <v>E0047@example.com</v>
      </c>
      <c r="E57" s="2" t="s">
        <v>737</v>
      </c>
      <c r="F57">
        <v>1</v>
      </c>
      <c r="G57">
        <v>1</v>
      </c>
      <c r="H57">
        <v>1</v>
      </c>
    </row>
    <row r="58" spans="1:8" x14ac:dyDescent="0.15">
      <c r="A58">
        <v>48</v>
      </c>
      <c r="B58" t="s">
        <v>97</v>
      </c>
      <c r="C58" t="s">
        <v>481</v>
      </c>
      <c r="D58" t="str">
        <f t="shared" si="0"/>
        <v>E0048@example.com</v>
      </c>
      <c r="E58" s="2" t="s">
        <v>737</v>
      </c>
      <c r="F58">
        <v>1</v>
      </c>
      <c r="G58">
        <v>1</v>
      </c>
      <c r="H58">
        <v>1</v>
      </c>
    </row>
    <row r="59" spans="1:8" x14ac:dyDescent="0.15">
      <c r="A59">
        <v>49</v>
      </c>
      <c r="B59" t="s">
        <v>98</v>
      </c>
      <c r="C59" t="s">
        <v>482</v>
      </c>
      <c r="D59" t="str">
        <f t="shared" si="0"/>
        <v>E0049@example.com</v>
      </c>
      <c r="E59" s="2" t="s">
        <v>737</v>
      </c>
      <c r="F59">
        <v>1</v>
      </c>
      <c r="G59">
        <v>1</v>
      </c>
      <c r="H59">
        <v>1</v>
      </c>
    </row>
    <row r="60" spans="1:8" x14ac:dyDescent="0.15">
      <c r="A60">
        <v>50</v>
      </c>
      <c r="B60" t="s">
        <v>99</v>
      </c>
      <c r="C60" t="s">
        <v>483</v>
      </c>
      <c r="D60" t="str">
        <f t="shared" si="0"/>
        <v>E0050@example.com</v>
      </c>
      <c r="E60" s="2" t="s">
        <v>737</v>
      </c>
      <c r="F60">
        <v>1</v>
      </c>
      <c r="G60">
        <v>1</v>
      </c>
      <c r="H60">
        <v>1</v>
      </c>
    </row>
    <row r="61" spans="1:8" x14ac:dyDescent="0.15">
      <c r="A61">
        <v>51</v>
      </c>
      <c r="B61" t="s">
        <v>100</v>
      </c>
      <c r="C61" t="s">
        <v>484</v>
      </c>
      <c r="D61" t="str">
        <f t="shared" si="0"/>
        <v>E0051@example.com</v>
      </c>
      <c r="E61" s="2" t="s">
        <v>737</v>
      </c>
      <c r="F61">
        <v>1</v>
      </c>
      <c r="G61">
        <v>1</v>
      </c>
      <c r="H61">
        <v>1</v>
      </c>
    </row>
    <row r="62" spans="1:8" x14ac:dyDescent="0.15">
      <c r="A62">
        <v>52</v>
      </c>
      <c r="B62" t="s">
        <v>101</v>
      </c>
      <c r="C62" t="s">
        <v>485</v>
      </c>
      <c r="D62" t="str">
        <f t="shared" si="0"/>
        <v>E0052@example.com</v>
      </c>
      <c r="E62" s="2" t="s">
        <v>737</v>
      </c>
      <c r="F62">
        <v>1</v>
      </c>
      <c r="G62">
        <v>1</v>
      </c>
      <c r="H62">
        <v>1</v>
      </c>
    </row>
    <row r="63" spans="1:8" x14ac:dyDescent="0.15">
      <c r="A63">
        <v>53</v>
      </c>
      <c r="B63" t="s">
        <v>102</v>
      </c>
      <c r="C63" t="s">
        <v>486</v>
      </c>
      <c r="D63" t="str">
        <f t="shared" si="0"/>
        <v>E0053@example.com</v>
      </c>
      <c r="E63" s="2" t="s">
        <v>737</v>
      </c>
      <c r="F63">
        <v>1</v>
      </c>
      <c r="G63">
        <v>1</v>
      </c>
      <c r="H63">
        <v>1</v>
      </c>
    </row>
    <row r="64" spans="1:8" x14ac:dyDescent="0.15">
      <c r="A64">
        <v>54</v>
      </c>
      <c r="B64" t="s">
        <v>103</v>
      </c>
      <c r="C64" t="s">
        <v>487</v>
      </c>
      <c r="D64" t="str">
        <f t="shared" si="0"/>
        <v>E0054@example.com</v>
      </c>
      <c r="E64" s="2" t="s">
        <v>737</v>
      </c>
      <c r="F64">
        <v>1</v>
      </c>
      <c r="G64">
        <v>1</v>
      </c>
      <c r="H64">
        <v>1</v>
      </c>
    </row>
    <row r="65" spans="1:8" x14ac:dyDescent="0.15">
      <c r="A65">
        <v>55</v>
      </c>
      <c r="B65" t="s">
        <v>104</v>
      </c>
      <c r="C65" t="s">
        <v>488</v>
      </c>
      <c r="D65" t="str">
        <f t="shared" si="0"/>
        <v>E0055@example.com</v>
      </c>
      <c r="E65" s="2" t="s">
        <v>737</v>
      </c>
      <c r="F65">
        <v>1</v>
      </c>
      <c r="G65">
        <v>1</v>
      </c>
      <c r="H65">
        <v>1</v>
      </c>
    </row>
    <row r="66" spans="1:8" x14ac:dyDescent="0.15">
      <c r="A66">
        <v>56</v>
      </c>
      <c r="B66" t="s">
        <v>105</v>
      </c>
      <c r="C66" t="s">
        <v>489</v>
      </c>
      <c r="D66" t="str">
        <f t="shared" si="0"/>
        <v>E0056@example.com</v>
      </c>
      <c r="E66" s="2" t="s">
        <v>737</v>
      </c>
      <c r="F66">
        <v>1</v>
      </c>
      <c r="G66">
        <v>1</v>
      </c>
      <c r="H66">
        <v>1</v>
      </c>
    </row>
    <row r="67" spans="1:8" x14ac:dyDescent="0.15">
      <c r="A67">
        <v>57</v>
      </c>
      <c r="B67" t="s">
        <v>106</v>
      </c>
      <c r="C67" t="s">
        <v>490</v>
      </c>
      <c r="D67" t="str">
        <f t="shared" si="0"/>
        <v>E0057@example.com</v>
      </c>
      <c r="E67" s="2" t="s">
        <v>737</v>
      </c>
      <c r="F67">
        <v>1</v>
      </c>
      <c r="G67">
        <v>1</v>
      </c>
      <c r="H67">
        <v>1</v>
      </c>
    </row>
    <row r="68" spans="1:8" x14ac:dyDescent="0.15">
      <c r="A68">
        <v>58</v>
      </c>
      <c r="B68" t="s">
        <v>107</v>
      </c>
      <c r="C68" t="s">
        <v>491</v>
      </c>
      <c r="D68" t="str">
        <f t="shared" si="0"/>
        <v>E0058@example.com</v>
      </c>
      <c r="E68" s="2" t="s">
        <v>737</v>
      </c>
      <c r="F68">
        <v>1</v>
      </c>
      <c r="G68">
        <v>1</v>
      </c>
      <c r="H68">
        <v>1</v>
      </c>
    </row>
    <row r="69" spans="1:8" x14ac:dyDescent="0.15">
      <c r="A69">
        <v>59</v>
      </c>
      <c r="B69" t="s">
        <v>108</v>
      </c>
      <c r="C69" t="s">
        <v>492</v>
      </c>
      <c r="D69" t="str">
        <f t="shared" si="0"/>
        <v>E0059@example.com</v>
      </c>
      <c r="E69" s="2" t="s">
        <v>737</v>
      </c>
      <c r="F69">
        <v>1</v>
      </c>
      <c r="G69">
        <v>1</v>
      </c>
      <c r="H69">
        <v>1</v>
      </c>
    </row>
    <row r="70" spans="1:8" x14ac:dyDescent="0.15">
      <c r="A70">
        <v>60</v>
      </c>
      <c r="B70" t="s">
        <v>109</v>
      </c>
      <c r="C70" t="s">
        <v>493</v>
      </c>
      <c r="D70" t="str">
        <f t="shared" si="0"/>
        <v>E0060@example.com</v>
      </c>
      <c r="E70" s="2" t="s">
        <v>737</v>
      </c>
      <c r="F70">
        <v>1</v>
      </c>
      <c r="G70">
        <v>1</v>
      </c>
      <c r="H70">
        <v>1</v>
      </c>
    </row>
    <row r="71" spans="1:8" x14ac:dyDescent="0.15">
      <c r="A71">
        <v>61</v>
      </c>
      <c r="B71" t="s">
        <v>110</v>
      </c>
      <c r="C71" t="s">
        <v>494</v>
      </c>
      <c r="D71" t="str">
        <f t="shared" si="0"/>
        <v>E0061@example.com</v>
      </c>
      <c r="E71" s="2" t="s">
        <v>737</v>
      </c>
      <c r="F71">
        <v>1</v>
      </c>
      <c r="G71">
        <v>1</v>
      </c>
      <c r="H71">
        <v>1</v>
      </c>
    </row>
    <row r="72" spans="1:8" x14ac:dyDescent="0.15">
      <c r="A72">
        <v>62</v>
      </c>
      <c r="B72" t="s">
        <v>111</v>
      </c>
      <c r="C72" t="s">
        <v>495</v>
      </c>
      <c r="D72" t="str">
        <f t="shared" si="0"/>
        <v>E0062@example.com</v>
      </c>
      <c r="E72" s="2" t="s">
        <v>737</v>
      </c>
      <c r="F72">
        <v>1</v>
      </c>
      <c r="G72">
        <v>1</v>
      </c>
      <c r="H72">
        <v>1</v>
      </c>
    </row>
    <row r="73" spans="1:8" x14ac:dyDescent="0.15">
      <c r="A73">
        <v>63</v>
      </c>
      <c r="B73" t="s">
        <v>112</v>
      </c>
      <c r="C73" t="s">
        <v>496</v>
      </c>
      <c r="D73" t="str">
        <f t="shared" si="0"/>
        <v>E0063@example.com</v>
      </c>
      <c r="E73" s="2" t="s">
        <v>737</v>
      </c>
      <c r="F73">
        <v>1</v>
      </c>
      <c r="G73">
        <v>1</v>
      </c>
      <c r="H73">
        <v>1</v>
      </c>
    </row>
    <row r="74" spans="1:8" x14ac:dyDescent="0.15">
      <c r="A74">
        <v>64</v>
      </c>
      <c r="B74" t="s">
        <v>113</v>
      </c>
      <c r="C74" t="s">
        <v>497</v>
      </c>
      <c r="D74" t="str">
        <f t="shared" si="0"/>
        <v>E0064@example.com</v>
      </c>
      <c r="E74" s="2" t="s">
        <v>737</v>
      </c>
      <c r="F74">
        <v>1</v>
      </c>
      <c r="G74">
        <v>1</v>
      </c>
      <c r="H74">
        <v>1</v>
      </c>
    </row>
    <row r="75" spans="1:8" x14ac:dyDescent="0.15">
      <c r="A75">
        <v>65</v>
      </c>
      <c r="B75" t="s">
        <v>114</v>
      </c>
      <c r="C75" t="s">
        <v>498</v>
      </c>
      <c r="D75" t="str">
        <f t="shared" si="0"/>
        <v>E0065@example.com</v>
      </c>
      <c r="E75" s="2" t="s">
        <v>737</v>
      </c>
      <c r="F75">
        <v>1</v>
      </c>
      <c r="G75">
        <v>1</v>
      </c>
      <c r="H75">
        <v>2</v>
      </c>
    </row>
    <row r="76" spans="1:8" x14ac:dyDescent="0.15">
      <c r="A76">
        <v>66</v>
      </c>
      <c r="B76" t="s">
        <v>115</v>
      </c>
      <c r="C76" t="s">
        <v>499</v>
      </c>
      <c r="D76" t="str">
        <f t="shared" ref="D76:D139" si="1">B76 &amp; "@example.com"</f>
        <v>E0066@example.com</v>
      </c>
      <c r="E76" s="2" t="s">
        <v>737</v>
      </c>
      <c r="F76">
        <v>1</v>
      </c>
      <c r="G76">
        <v>1</v>
      </c>
      <c r="H76">
        <v>2</v>
      </c>
    </row>
    <row r="77" spans="1:8" x14ac:dyDescent="0.15">
      <c r="A77">
        <v>67</v>
      </c>
      <c r="B77" t="s">
        <v>116</v>
      </c>
      <c r="C77" t="s">
        <v>500</v>
      </c>
      <c r="D77" t="str">
        <f t="shared" si="1"/>
        <v>E0067@example.com</v>
      </c>
      <c r="E77" s="2" t="s">
        <v>737</v>
      </c>
      <c r="F77">
        <v>1</v>
      </c>
      <c r="G77">
        <v>1</v>
      </c>
      <c r="H77">
        <v>2</v>
      </c>
    </row>
    <row r="78" spans="1:8" x14ac:dyDescent="0.15">
      <c r="A78">
        <v>68</v>
      </c>
      <c r="B78" t="s">
        <v>117</v>
      </c>
      <c r="C78" t="s">
        <v>501</v>
      </c>
      <c r="D78" t="str">
        <f t="shared" si="1"/>
        <v>E0068@example.com</v>
      </c>
      <c r="E78" s="2" t="s">
        <v>737</v>
      </c>
      <c r="F78">
        <v>1</v>
      </c>
      <c r="G78">
        <v>1</v>
      </c>
      <c r="H78">
        <v>2</v>
      </c>
    </row>
    <row r="79" spans="1:8" x14ac:dyDescent="0.15">
      <c r="A79">
        <v>69</v>
      </c>
      <c r="B79" t="s">
        <v>118</v>
      </c>
      <c r="C79" t="s">
        <v>502</v>
      </c>
      <c r="D79" t="str">
        <f t="shared" si="1"/>
        <v>E0069@example.com</v>
      </c>
      <c r="E79" s="2" t="s">
        <v>737</v>
      </c>
      <c r="F79">
        <v>1</v>
      </c>
      <c r="G79">
        <v>1</v>
      </c>
      <c r="H79">
        <v>2</v>
      </c>
    </row>
    <row r="80" spans="1:8" x14ac:dyDescent="0.15">
      <c r="A80">
        <v>70</v>
      </c>
      <c r="B80" t="s">
        <v>119</v>
      </c>
      <c r="C80" t="s">
        <v>503</v>
      </c>
      <c r="D80" t="str">
        <f t="shared" si="1"/>
        <v>E0070@example.com</v>
      </c>
      <c r="E80" s="2" t="s">
        <v>737</v>
      </c>
      <c r="F80">
        <v>1</v>
      </c>
      <c r="G80">
        <v>1</v>
      </c>
      <c r="H80">
        <v>2</v>
      </c>
    </row>
    <row r="81" spans="1:8" x14ac:dyDescent="0.15">
      <c r="A81">
        <v>71</v>
      </c>
      <c r="B81" t="s">
        <v>120</v>
      </c>
      <c r="C81" t="s">
        <v>504</v>
      </c>
      <c r="D81" t="str">
        <f t="shared" si="1"/>
        <v>E0071@example.com</v>
      </c>
      <c r="E81" s="2" t="s">
        <v>737</v>
      </c>
      <c r="F81">
        <v>1</v>
      </c>
      <c r="G81">
        <v>1</v>
      </c>
      <c r="H81">
        <v>3</v>
      </c>
    </row>
    <row r="82" spans="1:8" x14ac:dyDescent="0.15">
      <c r="A82">
        <v>72</v>
      </c>
      <c r="B82" t="s">
        <v>121</v>
      </c>
      <c r="C82" t="s">
        <v>505</v>
      </c>
      <c r="D82" t="str">
        <f t="shared" si="1"/>
        <v>E0072@example.com</v>
      </c>
      <c r="E82" s="2" t="s">
        <v>737</v>
      </c>
      <c r="F82">
        <v>1</v>
      </c>
      <c r="G82">
        <v>1</v>
      </c>
      <c r="H82">
        <v>3</v>
      </c>
    </row>
    <row r="83" spans="1:8" x14ac:dyDescent="0.15">
      <c r="A83">
        <v>73</v>
      </c>
      <c r="B83" t="s">
        <v>122</v>
      </c>
      <c r="C83" t="s">
        <v>506</v>
      </c>
      <c r="D83" t="str">
        <f t="shared" si="1"/>
        <v>E0073@example.com</v>
      </c>
      <c r="E83" s="2" t="s">
        <v>737</v>
      </c>
      <c r="F83">
        <v>1</v>
      </c>
      <c r="G83">
        <v>1</v>
      </c>
      <c r="H83">
        <v>3</v>
      </c>
    </row>
    <row r="84" spans="1:8" x14ac:dyDescent="0.15">
      <c r="A84">
        <v>74</v>
      </c>
      <c r="B84" t="s">
        <v>123</v>
      </c>
      <c r="C84" t="s">
        <v>507</v>
      </c>
      <c r="D84" t="str">
        <f t="shared" si="1"/>
        <v>E0074@example.com</v>
      </c>
      <c r="E84" s="2" t="s">
        <v>737</v>
      </c>
      <c r="F84">
        <v>1</v>
      </c>
      <c r="G84">
        <v>1</v>
      </c>
      <c r="H84">
        <v>3</v>
      </c>
    </row>
    <row r="85" spans="1:8" x14ac:dyDescent="0.15">
      <c r="A85">
        <v>75</v>
      </c>
      <c r="B85" t="s">
        <v>124</v>
      </c>
      <c r="C85" t="s">
        <v>508</v>
      </c>
      <c r="D85" t="str">
        <f t="shared" si="1"/>
        <v>E0075@example.com</v>
      </c>
      <c r="E85" s="2" t="s">
        <v>737</v>
      </c>
      <c r="F85">
        <v>1</v>
      </c>
      <c r="G85">
        <v>1</v>
      </c>
      <c r="H85">
        <v>3</v>
      </c>
    </row>
    <row r="86" spans="1:8" x14ac:dyDescent="0.15">
      <c r="A86">
        <v>76</v>
      </c>
      <c r="B86" t="s">
        <v>125</v>
      </c>
      <c r="C86" t="s">
        <v>509</v>
      </c>
      <c r="D86" t="str">
        <f t="shared" si="1"/>
        <v>E0076@example.com</v>
      </c>
      <c r="E86" s="2" t="s">
        <v>737</v>
      </c>
      <c r="F86">
        <v>1</v>
      </c>
      <c r="G86">
        <v>1</v>
      </c>
      <c r="H86">
        <v>1</v>
      </c>
    </row>
    <row r="87" spans="1:8" x14ac:dyDescent="0.15">
      <c r="A87">
        <v>77</v>
      </c>
      <c r="B87" t="s">
        <v>126</v>
      </c>
      <c r="C87" t="s">
        <v>510</v>
      </c>
      <c r="D87" t="str">
        <f t="shared" si="1"/>
        <v>E0077@example.com</v>
      </c>
      <c r="E87" s="2" t="s">
        <v>737</v>
      </c>
      <c r="F87">
        <v>1</v>
      </c>
      <c r="G87">
        <v>1</v>
      </c>
      <c r="H87">
        <v>1</v>
      </c>
    </row>
    <row r="88" spans="1:8" x14ac:dyDescent="0.15">
      <c r="A88">
        <v>78</v>
      </c>
      <c r="B88" t="s">
        <v>127</v>
      </c>
      <c r="C88" t="s">
        <v>511</v>
      </c>
      <c r="D88" t="str">
        <f t="shared" si="1"/>
        <v>E0078@example.com</v>
      </c>
      <c r="E88" s="2" t="s">
        <v>737</v>
      </c>
      <c r="F88">
        <v>1</v>
      </c>
      <c r="G88">
        <v>1</v>
      </c>
      <c r="H88">
        <v>1</v>
      </c>
    </row>
    <row r="89" spans="1:8" x14ac:dyDescent="0.15">
      <c r="A89">
        <v>79</v>
      </c>
      <c r="B89" t="s">
        <v>128</v>
      </c>
      <c r="C89" t="s">
        <v>512</v>
      </c>
      <c r="D89" t="str">
        <f t="shared" si="1"/>
        <v>E0079@example.com</v>
      </c>
      <c r="E89" s="2" t="s">
        <v>737</v>
      </c>
      <c r="F89">
        <v>1</v>
      </c>
      <c r="G89">
        <v>1</v>
      </c>
      <c r="H89">
        <v>1</v>
      </c>
    </row>
    <row r="90" spans="1:8" x14ac:dyDescent="0.15">
      <c r="A90">
        <v>80</v>
      </c>
      <c r="B90" t="s">
        <v>129</v>
      </c>
      <c r="C90" t="s">
        <v>513</v>
      </c>
      <c r="D90" t="str">
        <f t="shared" si="1"/>
        <v>E0080@example.com</v>
      </c>
      <c r="E90" s="2" t="s">
        <v>737</v>
      </c>
      <c r="F90">
        <v>1</v>
      </c>
      <c r="G90">
        <v>1</v>
      </c>
      <c r="H90">
        <v>1</v>
      </c>
    </row>
    <row r="91" spans="1:8" x14ac:dyDescent="0.15">
      <c r="A91">
        <v>81</v>
      </c>
      <c r="B91" t="s">
        <v>130</v>
      </c>
      <c r="C91" t="s">
        <v>514</v>
      </c>
      <c r="D91" t="str">
        <f t="shared" si="1"/>
        <v>E0081@example.com</v>
      </c>
      <c r="E91" s="2" t="s">
        <v>737</v>
      </c>
      <c r="F91">
        <v>1</v>
      </c>
      <c r="G91">
        <v>1</v>
      </c>
      <c r="H91">
        <v>1</v>
      </c>
    </row>
    <row r="92" spans="1:8" x14ac:dyDescent="0.15">
      <c r="A92">
        <v>82</v>
      </c>
      <c r="B92" t="s">
        <v>131</v>
      </c>
      <c r="C92" t="s">
        <v>515</v>
      </c>
      <c r="D92" t="str">
        <f t="shared" si="1"/>
        <v>E0082@example.com</v>
      </c>
      <c r="E92" s="2" t="s">
        <v>737</v>
      </c>
      <c r="F92">
        <v>1</v>
      </c>
      <c r="G92">
        <v>1</v>
      </c>
      <c r="H92">
        <v>1</v>
      </c>
    </row>
    <row r="93" spans="1:8" x14ac:dyDescent="0.15">
      <c r="A93">
        <v>83</v>
      </c>
      <c r="B93" t="s">
        <v>132</v>
      </c>
      <c r="C93" t="s">
        <v>516</v>
      </c>
      <c r="D93" t="str">
        <f t="shared" si="1"/>
        <v>E0083@example.com</v>
      </c>
      <c r="E93" s="2" t="s">
        <v>737</v>
      </c>
      <c r="F93">
        <v>1</v>
      </c>
      <c r="G93">
        <v>1</v>
      </c>
      <c r="H93">
        <v>1</v>
      </c>
    </row>
    <row r="94" spans="1:8" x14ac:dyDescent="0.15">
      <c r="A94">
        <v>84</v>
      </c>
      <c r="B94" t="s">
        <v>133</v>
      </c>
      <c r="C94" t="s">
        <v>517</v>
      </c>
      <c r="D94" t="str">
        <f t="shared" si="1"/>
        <v>E0084@example.com</v>
      </c>
      <c r="E94" s="2" t="s">
        <v>737</v>
      </c>
      <c r="F94">
        <v>1</v>
      </c>
      <c r="G94">
        <v>1</v>
      </c>
      <c r="H94">
        <v>1</v>
      </c>
    </row>
    <row r="95" spans="1:8" x14ac:dyDescent="0.15">
      <c r="A95">
        <v>85</v>
      </c>
      <c r="B95" t="s">
        <v>134</v>
      </c>
      <c r="C95" t="s">
        <v>518</v>
      </c>
      <c r="D95" t="str">
        <f t="shared" si="1"/>
        <v>E0085@example.com</v>
      </c>
      <c r="E95" s="2" t="s">
        <v>737</v>
      </c>
      <c r="F95">
        <v>1</v>
      </c>
      <c r="G95">
        <v>1</v>
      </c>
      <c r="H95">
        <v>1</v>
      </c>
    </row>
    <row r="96" spans="1:8" x14ac:dyDescent="0.15">
      <c r="A96">
        <v>86</v>
      </c>
      <c r="B96" t="s">
        <v>135</v>
      </c>
      <c r="C96" t="s">
        <v>519</v>
      </c>
      <c r="D96" t="str">
        <f t="shared" si="1"/>
        <v>E0086@example.com</v>
      </c>
      <c r="E96" s="2" t="s">
        <v>737</v>
      </c>
      <c r="F96">
        <v>1</v>
      </c>
      <c r="G96">
        <v>1</v>
      </c>
      <c r="H96">
        <v>1</v>
      </c>
    </row>
    <row r="97" spans="1:8" x14ac:dyDescent="0.15">
      <c r="A97">
        <v>87</v>
      </c>
      <c r="B97" t="s">
        <v>136</v>
      </c>
      <c r="C97" t="s">
        <v>520</v>
      </c>
      <c r="D97" t="str">
        <f t="shared" si="1"/>
        <v>E0087@example.com</v>
      </c>
      <c r="E97" s="2" t="s">
        <v>737</v>
      </c>
      <c r="F97">
        <v>2</v>
      </c>
      <c r="G97">
        <v>1</v>
      </c>
      <c r="H97">
        <v>1</v>
      </c>
    </row>
    <row r="98" spans="1:8" x14ac:dyDescent="0.15">
      <c r="A98">
        <v>88</v>
      </c>
      <c r="B98" t="s">
        <v>137</v>
      </c>
      <c r="C98" t="s">
        <v>521</v>
      </c>
      <c r="D98" t="str">
        <f t="shared" si="1"/>
        <v>E0088@example.com</v>
      </c>
      <c r="E98" s="2" t="s">
        <v>737</v>
      </c>
      <c r="F98">
        <v>2</v>
      </c>
      <c r="G98">
        <v>1</v>
      </c>
      <c r="H98">
        <v>1</v>
      </c>
    </row>
    <row r="99" spans="1:8" x14ac:dyDescent="0.15">
      <c r="A99">
        <v>89</v>
      </c>
      <c r="B99" t="s">
        <v>138</v>
      </c>
      <c r="C99" t="s">
        <v>522</v>
      </c>
      <c r="D99" t="str">
        <f t="shared" si="1"/>
        <v>E0089@example.com</v>
      </c>
      <c r="E99" s="2" t="s">
        <v>737</v>
      </c>
      <c r="F99">
        <v>2</v>
      </c>
      <c r="G99">
        <v>1</v>
      </c>
      <c r="H99">
        <v>1</v>
      </c>
    </row>
    <row r="100" spans="1:8" x14ac:dyDescent="0.15">
      <c r="A100">
        <v>90</v>
      </c>
      <c r="B100" t="s">
        <v>139</v>
      </c>
      <c r="C100" t="s">
        <v>523</v>
      </c>
      <c r="D100" t="str">
        <f t="shared" si="1"/>
        <v>E0090@example.com</v>
      </c>
      <c r="E100" s="2" t="s">
        <v>737</v>
      </c>
      <c r="F100">
        <v>2</v>
      </c>
      <c r="G100">
        <v>1</v>
      </c>
      <c r="H100">
        <v>1</v>
      </c>
    </row>
    <row r="101" spans="1:8" x14ac:dyDescent="0.15">
      <c r="A101">
        <v>91</v>
      </c>
      <c r="B101" t="s">
        <v>140</v>
      </c>
      <c r="C101" t="s">
        <v>524</v>
      </c>
      <c r="D101" t="str">
        <f t="shared" si="1"/>
        <v>E0091@example.com</v>
      </c>
      <c r="E101" s="2" t="s">
        <v>737</v>
      </c>
      <c r="F101">
        <v>2</v>
      </c>
      <c r="G101">
        <v>1</v>
      </c>
      <c r="H101">
        <v>1</v>
      </c>
    </row>
    <row r="102" spans="1:8" x14ac:dyDescent="0.15">
      <c r="A102">
        <v>92</v>
      </c>
      <c r="B102" t="s">
        <v>141</v>
      </c>
      <c r="C102" t="s">
        <v>525</v>
      </c>
      <c r="D102" t="str">
        <f t="shared" si="1"/>
        <v>E0092@example.com</v>
      </c>
      <c r="E102" s="2" t="s">
        <v>737</v>
      </c>
      <c r="F102">
        <v>2</v>
      </c>
      <c r="G102">
        <v>1</v>
      </c>
      <c r="H102">
        <v>1</v>
      </c>
    </row>
    <row r="103" spans="1:8" x14ac:dyDescent="0.15">
      <c r="A103">
        <v>93</v>
      </c>
      <c r="B103" t="s">
        <v>142</v>
      </c>
      <c r="C103" t="s">
        <v>526</v>
      </c>
      <c r="D103" t="str">
        <f t="shared" si="1"/>
        <v>E0093@example.com</v>
      </c>
      <c r="E103" s="2" t="s">
        <v>737</v>
      </c>
      <c r="F103">
        <v>2</v>
      </c>
      <c r="G103">
        <v>1</v>
      </c>
      <c r="H103">
        <v>1</v>
      </c>
    </row>
    <row r="104" spans="1:8" x14ac:dyDescent="0.15">
      <c r="A104">
        <v>94</v>
      </c>
      <c r="B104" t="s">
        <v>143</v>
      </c>
      <c r="C104" t="s">
        <v>527</v>
      </c>
      <c r="D104" t="str">
        <f t="shared" si="1"/>
        <v>E0094@example.com</v>
      </c>
      <c r="E104" s="2" t="s">
        <v>737</v>
      </c>
      <c r="F104">
        <v>2</v>
      </c>
      <c r="G104">
        <v>1</v>
      </c>
      <c r="H104">
        <v>1</v>
      </c>
    </row>
    <row r="105" spans="1:8" x14ac:dyDescent="0.15">
      <c r="A105">
        <v>95</v>
      </c>
      <c r="B105" t="s">
        <v>144</v>
      </c>
      <c r="C105" t="s">
        <v>528</v>
      </c>
      <c r="D105" t="str">
        <f t="shared" si="1"/>
        <v>E0095@example.com</v>
      </c>
      <c r="E105" s="2" t="s">
        <v>737</v>
      </c>
      <c r="F105">
        <v>2</v>
      </c>
      <c r="G105">
        <v>1</v>
      </c>
      <c r="H105">
        <v>1</v>
      </c>
    </row>
    <row r="106" spans="1:8" x14ac:dyDescent="0.15">
      <c r="A106">
        <v>96</v>
      </c>
      <c r="B106" t="s">
        <v>145</v>
      </c>
      <c r="C106" t="s">
        <v>529</v>
      </c>
      <c r="D106" t="str">
        <f t="shared" si="1"/>
        <v>E0096@example.com</v>
      </c>
      <c r="E106" s="2" t="s">
        <v>737</v>
      </c>
      <c r="F106">
        <v>2</v>
      </c>
      <c r="G106">
        <v>1</v>
      </c>
      <c r="H106">
        <v>1</v>
      </c>
    </row>
    <row r="107" spans="1:8" x14ac:dyDescent="0.15">
      <c r="A107">
        <v>97</v>
      </c>
      <c r="B107" t="s">
        <v>146</v>
      </c>
      <c r="C107" t="s">
        <v>530</v>
      </c>
      <c r="D107" t="str">
        <f t="shared" si="1"/>
        <v>E0097@example.com</v>
      </c>
      <c r="E107" s="2" t="s">
        <v>737</v>
      </c>
      <c r="F107">
        <v>2</v>
      </c>
      <c r="G107">
        <v>1</v>
      </c>
      <c r="H107">
        <v>1</v>
      </c>
    </row>
    <row r="108" spans="1:8" x14ac:dyDescent="0.15">
      <c r="A108">
        <v>98</v>
      </c>
      <c r="B108" t="s">
        <v>147</v>
      </c>
      <c r="C108" t="s">
        <v>531</v>
      </c>
      <c r="D108" t="str">
        <f t="shared" si="1"/>
        <v>E0098@example.com</v>
      </c>
      <c r="E108" s="2" t="s">
        <v>737</v>
      </c>
      <c r="F108">
        <v>2</v>
      </c>
      <c r="G108">
        <v>1</v>
      </c>
      <c r="H108">
        <v>1</v>
      </c>
    </row>
    <row r="109" spans="1:8" x14ac:dyDescent="0.15">
      <c r="A109">
        <v>99</v>
      </c>
      <c r="B109" t="s">
        <v>148</v>
      </c>
      <c r="C109" t="s">
        <v>532</v>
      </c>
      <c r="D109" t="str">
        <f t="shared" si="1"/>
        <v>E0099@example.com</v>
      </c>
      <c r="E109" s="2" t="s">
        <v>737</v>
      </c>
      <c r="F109">
        <v>2</v>
      </c>
      <c r="G109">
        <v>1</v>
      </c>
      <c r="H109">
        <v>1</v>
      </c>
    </row>
    <row r="110" spans="1:8" x14ac:dyDescent="0.15">
      <c r="A110">
        <v>100</v>
      </c>
      <c r="B110" t="s">
        <v>149</v>
      </c>
      <c r="C110" t="s">
        <v>533</v>
      </c>
      <c r="D110" t="str">
        <f t="shared" si="1"/>
        <v>E0100@example.com</v>
      </c>
      <c r="E110" s="2" t="s">
        <v>737</v>
      </c>
      <c r="F110">
        <v>2</v>
      </c>
      <c r="G110">
        <v>1</v>
      </c>
      <c r="H110">
        <v>1</v>
      </c>
    </row>
    <row r="111" spans="1:8" x14ac:dyDescent="0.15">
      <c r="A111">
        <v>101</v>
      </c>
      <c r="B111" t="s">
        <v>150</v>
      </c>
      <c r="C111" t="s">
        <v>534</v>
      </c>
      <c r="D111" t="str">
        <f t="shared" si="1"/>
        <v>E0101@example.com</v>
      </c>
      <c r="E111" s="2" t="s">
        <v>737</v>
      </c>
      <c r="F111">
        <v>2</v>
      </c>
      <c r="G111">
        <v>1</v>
      </c>
      <c r="H111">
        <v>1</v>
      </c>
    </row>
    <row r="112" spans="1:8" x14ac:dyDescent="0.15">
      <c r="A112">
        <v>102</v>
      </c>
      <c r="B112" t="s">
        <v>151</v>
      </c>
      <c r="C112" t="s">
        <v>535</v>
      </c>
      <c r="D112" t="str">
        <f t="shared" si="1"/>
        <v>E0102@example.com</v>
      </c>
      <c r="E112" s="2" t="s">
        <v>737</v>
      </c>
      <c r="F112">
        <v>2</v>
      </c>
      <c r="G112">
        <v>1</v>
      </c>
      <c r="H112">
        <v>1</v>
      </c>
    </row>
    <row r="113" spans="1:8" x14ac:dyDescent="0.15">
      <c r="A113">
        <v>103</v>
      </c>
      <c r="B113" t="s">
        <v>152</v>
      </c>
      <c r="C113" t="s">
        <v>536</v>
      </c>
      <c r="D113" t="str">
        <f t="shared" si="1"/>
        <v>E0103@example.com</v>
      </c>
      <c r="E113" s="2" t="s">
        <v>737</v>
      </c>
      <c r="F113">
        <v>2</v>
      </c>
      <c r="G113">
        <v>1</v>
      </c>
      <c r="H113">
        <v>1</v>
      </c>
    </row>
    <row r="114" spans="1:8" x14ac:dyDescent="0.15">
      <c r="A114">
        <v>104</v>
      </c>
      <c r="B114" t="s">
        <v>153</v>
      </c>
      <c r="C114" t="s">
        <v>537</v>
      </c>
      <c r="D114" t="str">
        <f t="shared" si="1"/>
        <v>E0104@example.com</v>
      </c>
      <c r="E114" s="2" t="s">
        <v>737</v>
      </c>
      <c r="F114">
        <v>2</v>
      </c>
      <c r="G114">
        <v>1</v>
      </c>
      <c r="H114">
        <v>1</v>
      </c>
    </row>
    <row r="115" spans="1:8" x14ac:dyDescent="0.15">
      <c r="A115">
        <v>105</v>
      </c>
      <c r="B115" t="s">
        <v>154</v>
      </c>
      <c r="C115" t="s">
        <v>538</v>
      </c>
      <c r="D115" t="str">
        <f t="shared" si="1"/>
        <v>E0105@example.com</v>
      </c>
      <c r="E115" s="2" t="s">
        <v>737</v>
      </c>
      <c r="F115">
        <v>2</v>
      </c>
      <c r="G115">
        <v>1</v>
      </c>
      <c r="H115">
        <v>1</v>
      </c>
    </row>
    <row r="116" spans="1:8" x14ac:dyDescent="0.15">
      <c r="A116">
        <v>106</v>
      </c>
      <c r="B116" t="s">
        <v>155</v>
      </c>
      <c r="C116" t="s">
        <v>539</v>
      </c>
      <c r="D116" t="str">
        <f t="shared" si="1"/>
        <v>E0106@example.com</v>
      </c>
      <c r="E116" s="2" t="s">
        <v>737</v>
      </c>
      <c r="F116">
        <v>2</v>
      </c>
      <c r="G116">
        <v>1</v>
      </c>
      <c r="H116">
        <v>1</v>
      </c>
    </row>
    <row r="117" spans="1:8" x14ac:dyDescent="0.15">
      <c r="A117">
        <v>107</v>
      </c>
      <c r="B117" t="s">
        <v>156</v>
      </c>
      <c r="C117" t="s">
        <v>540</v>
      </c>
      <c r="D117" t="str">
        <f t="shared" si="1"/>
        <v>E0107@example.com</v>
      </c>
      <c r="E117" s="2" t="s">
        <v>737</v>
      </c>
      <c r="F117">
        <v>2</v>
      </c>
      <c r="G117">
        <v>1</v>
      </c>
      <c r="H117">
        <v>1</v>
      </c>
    </row>
    <row r="118" spans="1:8" x14ac:dyDescent="0.15">
      <c r="A118">
        <v>108</v>
      </c>
      <c r="B118" t="s">
        <v>157</v>
      </c>
      <c r="C118" t="s">
        <v>541</v>
      </c>
      <c r="D118" t="str">
        <f t="shared" si="1"/>
        <v>E0108@example.com</v>
      </c>
      <c r="E118" s="2" t="s">
        <v>737</v>
      </c>
      <c r="F118">
        <v>2</v>
      </c>
      <c r="G118">
        <v>1</v>
      </c>
      <c r="H118">
        <v>1</v>
      </c>
    </row>
    <row r="119" spans="1:8" x14ac:dyDescent="0.15">
      <c r="A119">
        <v>109</v>
      </c>
      <c r="B119" t="s">
        <v>158</v>
      </c>
      <c r="C119" t="s">
        <v>542</v>
      </c>
      <c r="D119" t="str">
        <f t="shared" si="1"/>
        <v>E0109@example.com</v>
      </c>
      <c r="E119" s="2" t="s">
        <v>737</v>
      </c>
      <c r="F119">
        <v>2</v>
      </c>
      <c r="G119">
        <v>1</v>
      </c>
      <c r="H119">
        <v>1</v>
      </c>
    </row>
    <row r="120" spans="1:8" x14ac:dyDescent="0.15">
      <c r="A120">
        <v>110</v>
      </c>
      <c r="B120" t="s">
        <v>159</v>
      </c>
      <c r="C120" t="s">
        <v>543</v>
      </c>
      <c r="D120" t="str">
        <f t="shared" si="1"/>
        <v>E0110@example.com</v>
      </c>
      <c r="E120" s="2" t="s">
        <v>737</v>
      </c>
      <c r="F120">
        <v>2</v>
      </c>
      <c r="G120">
        <v>1</v>
      </c>
      <c r="H120">
        <v>1</v>
      </c>
    </row>
    <row r="121" spans="1:8" x14ac:dyDescent="0.15">
      <c r="A121">
        <v>111</v>
      </c>
      <c r="B121" t="s">
        <v>160</v>
      </c>
      <c r="C121" t="s">
        <v>544</v>
      </c>
      <c r="D121" t="str">
        <f t="shared" si="1"/>
        <v>E0111@example.com</v>
      </c>
      <c r="E121" s="2" t="s">
        <v>737</v>
      </c>
      <c r="F121">
        <v>2</v>
      </c>
      <c r="G121">
        <v>1</v>
      </c>
      <c r="H121">
        <v>1</v>
      </c>
    </row>
    <row r="122" spans="1:8" x14ac:dyDescent="0.15">
      <c r="A122">
        <v>112</v>
      </c>
      <c r="B122" t="s">
        <v>161</v>
      </c>
      <c r="C122" t="s">
        <v>545</v>
      </c>
      <c r="D122" t="str">
        <f t="shared" si="1"/>
        <v>E0112@example.com</v>
      </c>
      <c r="E122" s="2" t="s">
        <v>737</v>
      </c>
      <c r="F122">
        <v>2</v>
      </c>
      <c r="G122">
        <v>1</v>
      </c>
      <c r="H122">
        <v>1</v>
      </c>
    </row>
    <row r="123" spans="1:8" x14ac:dyDescent="0.15">
      <c r="A123">
        <v>113</v>
      </c>
      <c r="B123" t="s">
        <v>162</v>
      </c>
      <c r="C123" t="s">
        <v>546</v>
      </c>
      <c r="D123" t="str">
        <f t="shared" si="1"/>
        <v>E0113@example.com</v>
      </c>
      <c r="E123" s="2" t="s">
        <v>737</v>
      </c>
      <c r="F123">
        <v>2</v>
      </c>
      <c r="G123">
        <v>1</v>
      </c>
      <c r="H123">
        <v>1</v>
      </c>
    </row>
    <row r="124" spans="1:8" x14ac:dyDescent="0.15">
      <c r="A124">
        <v>114</v>
      </c>
      <c r="B124" t="s">
        <v>163</v>
      </c>
      <c r="C124" t="s">
        <v>547</v>
      </c>
      <c r="D124" t="str">
        <f t="shared" si="1"/>
        <v>E0114@example.com</v>
      </c>
      <c r="E124" s="2" t="s">
        <v>737</v>
      </c>
      <c r="F124">
        <v>2</v>
      </c>
      <c r="G124">
        <v>1</v>
      </c>
      <c r="H124">
        <v>1</v>
      </c>
    </row>
    <row r="125" spans="1:8" x14ac:dyDescent="0.15">
      <c r="A125">
        <v>115</v>
      </c>
      <c r="B125" t="s">
        <v>164</v>
      </c>
      <c r="C125" t="s">
        <v>548</v>
      </c>
      <c r="D125" t="str">
        <f t="shared" si="1"/>
        <v>E0115@example.com</v>
      </c>
      <c r="E125" s="2" t="s">
        <v>737</v>
      </c>
      <c r="F125">
        <v>2</v>
      </c>
      <c r="G125">
        <v>1</v>
      </c>
      <c r="H125">
        <v>1</v>
      </c>
    </row>
    <row r="126" spans="1:8" x14ac:dyDescent="0.15">
      <c r="A126">
        <v>116</v>
      </c>
      <c r="B126" t="s">
        <v>165</v>
      </c>
      <c r="C126" t="s">
        <v>549</v>
      </c>
      <c r="D126" t="str">
        <f t="shared" si="1"/>
        <v>E0116@example.com</v>
      </c>
      <c r="E126" s="2" t="s">
        <v>737</v>
      </c>
      <c r="F126">
        <v>2</v>
      </c>
      <c r="G126">
        <v>1</v>
      </c>
      <c r="H126">
        <v>1</v>
      </c>
    </row>
    <row r="127" spans="1:8" x14ac:dyDescent="0.15">
      <c r="A127">
        <v>117</v>
      </c>
      <c r="B127" t="s">
        <v>166</v>
      </c>
      <c r="C127" t="s">
        <v>550</v>
      </c>
      <c r="D127" t="str">
        <f t="shared" si="1"/>
        <v>E0117@example.com</v>
      </c>
      <c r="E127" s="2" t="s">
        <v>737</v>
      </c>
      <c r="F127">
        <v>2</v>
      </c>
      <c r="G127">
        <v>1</v>
      </c>
      <c r="H127">
        <v>1</v>
      </c>
    </row>
    <row r="128" spans="1:8" x14ac:dyDescent="0.15">
      <c r="A128">
        <v>118</v>
      </c>
      <c r="B128" t="s">
        <v>167</v>
      </c>
      <c r="C128" t="s">
        <v>551</v>
      </c>
      <c r="D128" t="str">
        <f t="shared" si="1"/>
        <v>E0118@example.com</v>
      </c>
      <c r="E128" s="2" t="s">
        <v>737</v>
      </c>
      <c r="F128">
        <v>2</v>
      </c>
      <c r="G128">
        <v>1</v>
      </c>
      <c r="H128">
        <v>1</v>
      </c>
    </row>
    <row r="129" spans="1:8" x14ac:dyDescent="0.15">
      <c r="A129">
        <v>119</v>
      </c>
      <c r="B129" t="s">
        <v>168</v>
      </c>
      <c r="C129" t="s">
        <v>552</v>
      </c>
      <c r="D129" t="str">
        <f t="shared" si="1"/>
        <v>E0119@example.com</v>
      </c>
      <c r="E129" s="2" t="s">
        <v>737</v>
      </c>
      <c r="F129">
        <v>2</v>
      </c>
      <c r="G129">
        <v>1</v>
      </c>
      <c r="H129">
        <v>1</v>
      </c>
    </row>
    <row r="130" spans="1:8" x14ac:dyDescent="0.15">
      <c r="A130">
        <v>120</v>
      </c>
      <c r="B130" t="s">
        <v>169</v>
      </c>
      <c r="C130" t="s">
        <v>553</v>
      </c>
      <c r="D130" t="str">
        <f t="shared" si="1"/>
        <v>E0120@example.com</v>
      </c>
      <c r="E130" s="2" t="s">
        <v>737</v>
      </c>
      <c r="F130">
        <v>2</v>
      </c>
      <c r="G130">
        <v>1</v>
      </c>
      <c r="H130">
        <v>1</v>
      </c>
    </row>
    <row r="131" spans="1:8" x14ac:dyDescent="0.15">
      <c r="A131">
        <v>121</v>
      </c>
      <c r="B131" t="s">
        <v>170</v>
      </c>
      <c r="C131" t="s">
        <v>554</v>
      </c>
      <c r="D131" t="str">
        <f t="shared" si="1"/>
        <v>E0121@example.com</v>
      </c>
      <c r="E131" s="2" t="s">
        <v>737</v>
      </c>
      <c r="F131">
        <v>2</v>
      </c>
      <c r="G131">
        <v>1</v>
      </c>
      <c r="H131">
        <v>1</v>
      </c>
    </row>
    <row r="132" spans="1:8" x14ac:dyDescent="0.15">
      <c r="A132">
        <v>122</v>
      </c>
      <c r="B132" t="s">
        <v>171</v>
      </c>
      <c r="C132" t="s">
        <v>555</v>
      </c>
      <c r="D132" t="str">
        <f t="shared" si="1"/>
        <v>E0122@example.com</v>
      </c>
      <c r="E132" s="2" t="s">
        <v>737</v>
      </c>
      <c r="F132">
        <v>2</v>
      </c>
      <c r="G132">
        <v>1</v>
      </c>
      <c r="H132">
        <v>1</v>
      </c>
    </row>
    <row r="133" spans="1:8" x14ac:dyDescent="0.15">
      <c r="A133">
        <v>123</v>
      </c>
      <c r="B133" t="s">
        <v>172</v>
      </c>
      <c r="C133" t="s">
        <v>556</v>
      </c>
      <c r="D133" t="str">
        <f t="shared" si="1"/>
        <v>E0123@example.com</v>
      </c>
      <c r="E133" s="2" t="s">
        <v>737</v>
      </c>
      <c r="F133">
        <v>2</v>
      </c>
      <c r="G133">
        <v>1</v>
      </c>
      <c r="H133">
        <v>1</v>
      </c>
    </row>
    <row r="134" spans="1:8" x14ac:dyDescent="0.15">
      <c r="A134">
        <v>124</v>
      </c>
      <c r="B134" t="s">
        <v>173</v>
      </c>
      <c r="C134" t="s">
        <v>557</v>
      </c>
      <c r="D134" t="str">
        <f t="shared" si="1"/>
        <v>E0124@example.com</v>
      </c>
      <c r="E134" s="2" t="s">
        <v>737</v>
      </c>
      <c r="F134">
        <v>2</v>
      </c>
      <c r="G134">
        <v>1</v>
      </c>
      <c r="H134">
        <v>1</v>
      </c>
    </row>
    <row r="135" spans="1:8" x14ac:dyDescent="0.15">
      <c r="A135">
        <v>125</v>
      </c>
      <c r="B135" t="s">
        <v>174</v>
      </c>
      <c r="C135" t="s">
        <v>558</v>
      </c>
      <c r="D135" t="str">
        <f t="shared" si="1"/>
        <v>E0125@example.com</v>
      </c>
      <c r="E135" s="2" t="s">
        <v>737</v>
      </c>
      <c r="F135">
        <v>2</v>
      </c>
      <c r="G135">
        <v>1</v>
      </c>
      <c r="H135">
        <v>1</v>
      </c>
    </row>
    <row r="136" spans="1:8" x14ac:dyDescent="0.15">
      <c r="A136">
        <v>126</v>
      </c>
      <c r="B136" t="s">
        <v>175</v>
      </c>
      <c r="C136" t="s">
        <v>559</v>
      </c>
      <c r="D136" t="str">
        <f t="shared" si="1"/>
        <v>E0126@example.com</v>
      </c>
      <c r="E136" s="2" t="s">
        <v>737</v>
      </c>
      <c r="F136">
        <v>2</v>
      </c>
      <c r="G136">
        <v>1</v>
      </c>
      <c r="H136">
        <v>1</v>
      </c>
    </row>
    <row r="137" spans="1:8" x14ac:dyDescent="0.15">
      <c r="A137">
        <v>127</v>
      </c>
      <c r="B137" t="s">
        <v>176</v>
      </c>
      <c r="C137" t="s">
        <v>560</v>
      </c>
      <c r="D137" t="str">
        <f t="shared" si="1"/>
        <v>E0127@example.com</v>
      </c>
      <c r="E137" s="2" t="s">
        <v>737</v>
      </c>
      <c r="F137">
        <v>2</v>
      </c>
      <c r="G137">
        <v>1</v>
      </c>
      <c r="H137">
        <v>2</v>
      </c>
    </row>
    <row r="138" spans="1:8" x14ac:dyDescent="0.15">
      <c r="A138">
        <v>128</v>
      </c>
      <c r="B138" t="s">
        <v>177</v>
      </c>
      <c r="C138" t="s">
        <v>561</v>
      </c>
      <c r="D138" t="str">
        <f t="shared" si="1"/>
        <v>E0128@example.com</v>
      </c>
      <c r="E138" s="2" t="s">
        <v>737</v>
      </c>
      <c r="F138">
        <v>2</v>
      </c>
      <c r="G138">
        <v>1</v>
      </c>
      <c r="H138">
        <v>2</v>
      </c>
    </row>
    <row r="139" spans="1:8" x14ac:dyDescent="0.15">
      <c r="A139">
        <v>129</v>
      </c>
      <c r="B139" t="s">
        <v>178</v>
      </c>
      <c r="C139" t="s">
        <v>562</v>
      </c>
      <c r="D139" t="str">
        <f t="shared" si="1"/>
        <v>E0129@example.com</v>
      </c>
      <c r="E139" s="2" t="s">
        <v>737</v>
      </c>
      <c r="F139">
        <v>2</v>
      </c>
      <c r="G139">
        <v>1</v>
      </c>
      <c r="H139">
        <v>2</v>
      </c>
    </row>
    <row r="140" spans="1:8" x14ac:dyDescent="0.15">
      <c r="A140">
        <v>130</v>
      </c>
      <c r="B140" t="s">
        <v>179</v>
      </c>
      <c r="C140" t="s">
        <v>563</v>
      </c>
      <c r="D140" t="str">
        <f t="shared" ref="D140:D203" si="2">B140 &amp; "@example.com"</f>
        <v>E0130@example.com</v>
      </c>
      <c r="E140" s="2" t="s">
        <v>737</v>
      </c>
      <c r="F140">
        <v>2</v>
      </c>
      <c r="G140">
        <v>1</v>
      </c>
      <c r="H140">
        <v>2</v>
      </c>
    </row>
    <row r="141" spans="1:8" x14ac:dyDescent="0.15">
      <c r="A141">
        <v>131</v>
      </c>
      <c r="B141" t="s">
        <v>180</v>
      </c>
      <c r="C141" t="s">
        <v>564</v>
      </c>
      <c r="D141" t="str">
        <f t="shared" si="2"/>
        <v>E0131@example.com</v>
      </c>
      <c r="E141" s="2" t="s">
        <v>737</v>
      </c>
      <c r="F141">
        <v>2</v>
      </c>
      <c r="G141">
        <v>1</v>
      </c>
      <c r="H141">
        <v>2</v>
      </c>
    </row>
    <row r="142" spans="1:8" x14ac:dyDescent="0.15">
      <c r="A142">
        <v>132</v>
      </c>
      <c r="B142" t="s">
        <v>181</v>
      </c>
      <c r="C142" t="s">
        <v>565</v>
      </c>
      <c r="D142" t="str">
        <f t="shared" si="2"/>
        <v>E0132@example.com</v>
      </c>
      <c r="E142" s="2" t="s">
        <v>737</v>
      </c>
      <c r="F142">
        <v>2</v>
      </c>
      <c r="G142">
        <v>1</v>
      </c>
      <c r="H142">
        <v>1</v>
      </c>
    </row>
    <row r="143" spans="1:8" x14ac:dyDescent="0.15">
      <c r="A143">
        <v>133</v>
      </c>
      <c r="B143" t="s">
        <v>182</v>
      </c>
      <c r="C143" t="s">
        <v>566</v>
      </c>
      <c r="D143" t="str">
        <f t="shared" si="2"/>
        <v>E0133@example.com</v>
      </c>
      <c r="E143" s="2" t="s">
        <v>737</v>
      </c>
      <c r="F143">
        <v>2</v>
      </c>
      <c r="G143">
        <v>1</v>
      </c>
      <c r="H143">
        <v>1</v>
      </c>
    </row>
    <row r="144" spans="1:8" x14ac:dyDescent="0.15">
      <c r="A144">
        <v>134</v>
      </c>
      <c r="B144" t="s">
        <v>183</v>
      </c>
      <c r="C144" t="s">
        <v>567</v>
      </c>
      <c r="D144" t="str">
        <f t="shared" si="2"/>
        <v>E0134@example.com</v>
      </c>
      <c r="E144" s="2" t="s">
        <v>737</v>
      </c>
      <c r="F144">
        <v>2</v>
      </c>
      <c r="G144">
        <v>1</v>
      </c>
      <c r="H144">
        <v>1</v>
      </c>
    </row>
    <row r="145" spans="1:8" x14ac:dyDescent="0.15">
      <c r="A145">
        <v>135</v>
      </c>
      <c r="B145" t="s">
        <v>184</v>
      </c>
      <c r="C145" t="s">
        <v>568</v>
      </c>
      <c r="D145" t="str">
        <f t="shared" si="2"/>
        <v>E0135@example.com</v>
      </c>
      <c r="E145" s="2" t="s">
        <v>737</v>
      </c>
      <c r="F145">
        <v>2</v>
      </c>
      <c r="G145">
        <v>1</v>
      </c>
      <c r="H145">
        <v>1</v>
      </c>
    </row>
    <row r="146" spans="1:8" x14ac:dyDescent="0.15">
      <c r="A146">
        <v>136</v>
      </c>
      <c r="B146" t="s">
        <v>185</v>
      </c>
      <c r="C146" t="s">
        <v>569</v>
      </c>
      <c r="D146" t="str">
        <f t="shared" si="2"/>
        <v>E0136@example.com</v>
      </c>
      <c r="E146" s="2" t="s">
        <v>737</v>
      </c>
      <c r="F146">
        <v>2</v>
      </c>
      <c r="G146">
        <v>1</v>
      </c>
      <c r="H146">
        <v>1</v>
      </c>
    </row>
    <row r="147" spans="1:8" x14ac:dyDescent="0.15">
      <c r="A147">
        <v>137</v>
      </c>
      <c r="B147" t="s">
        <v>186</v>
      </c>
      <c r="C147" t="s">
        <v>570</v>
      </c>
      <c r="D147" t="str">
        <f t="shared" si="2"/>
        <v>E0137@example.com</v>
      </c>
      <c r="E147" s="2" t="s">
        <v>737</v>
      </c>
      <c r="F147">
        <v>2</v>
      </c>
      <c r="G147">
        <v>1</v>
      </c>
      <c r="H147">
        <v>1</v>
      </c>
    </row>
    <row r="148" spans="1:8" x14ac:dyDescent="0.15">
      <c r="A148">
        <v>138</v>
      </c>
      <c r="B148" t="s">
        <v>187</v>
      </c>
      <c r="C148" t="s">
        <v>571</v>
      </c>
      <c r="D148" t="str">
        <f t="shared" si="2"/>
        <v>E0138@example.com</v>
      </c>
      <c r="E148" s="2" t="s">
        <v>737</v>
      </c>
      <c r="F148">
        <v>2</v>
      </c>
      <c r="G148">
        <v>1</v>
      </c>
      <c r="H148">
        <v>1</v>
      </c>
    </row>
    <row r="149" spans="1:8" x14ac:dyDescent="0.15">
      <c r="A149">
        <v>139</v>
      </c>
      <c r="B149" t="s">
        <v>188</v>
      </c>
      <c r="C149" t="s">
        <v>572</v>
      </c>
      <c r="D149" t="str">
        <f t="shared" si="2"/>
        <v>E0139@example.com</v>
      </c>
      <c r="E149" s="2" t="s">
        <v>737</v>
      </c>
      <c r="F149">
        <v>2</v>
      </c>
      <c r="G149">
        <v>1</v>
      </c>
      <c r="H149">
        <v>1</v>
      </c>
    </row>
    <row r="150" spans="1:8" x14ac:dyDescent="0.15">
      <c r="A150">
        <v>140</v>
      </c>
      <c r="B150" t="s">
        <v>189</v>
      </c>
      <c r="C150" t="s">
        <v>573</v>
      </c>
      <c r="D150" t="str">
        <f t="shared" si="2"/>
        <v>E0140@example.com</v>
      </c>
      <c r="E150" s="2" t="s">
        <v>737</v>
      </c>
      <c r="F150">
        <v>2</v>
      </c>
      <c r="G150">
        <v>1</v>
      </c>
      <c r="H150">
        <v>1</v>
      </c>
    </row>
    <row r="151" spans="1:8" x14ac:dyDescent="0.15">
      <c r="A151">
        <v>141</v>
      </c>
      <c r="B151" t="s">
        <v>190</v>
      </c>
      <c r="C151" t="s">
        <v>574</v>
      </c>
      <c r="D151" t="str">
        <f t="shared" si="2"/>
        <v>E0141@example.com</v>
      </c>
      <c r="E151" s="2" t="s">
        <v>737</v>
      </c>
      <c r="F151">
        <v>2</v>
      </c>
      <c r="G151">
        <v>1</v>
      </c>
      <c r="H151">
        <v>1</v>
      </c>
    </row>
    <row r="152" spans="1:8" x14ac:dyDescent="0.15">
      <c r="A152">
        <v>142</v>
      </c>
      <c r="B152" t="s">
        <v>191</v>
      </c>
      <c r="C152" t="s">
        <v>575</v>
      </c>
      <c r="D152" t="str">
        <f t="shared" si="2"/>
        <v>E0142@example.com</v>
      </c>
      <c r="E152" s="2" t="s">
        <v>737</v>
      </c>
      <c r="F152">
        <v>2</v>
      </c>
      <c r="G152">
        <v>1</v>
      </c>
      <c r="H152">
        <v>1</v>
      </c>
    </row>
    <row r="153" spans="1:8" x14ac:dyDescent="0.15">
      <c r="A153">
        <v>143</v>
      </c>
      <c r="B153" t="s">
        <v>192</v>
      </c>
      <c r="C153" t="s">
        <v>576</v>
      </c>
      <c r="D153" t="str">
        <f t="shared" si="2"/>
        <v>E0143@example.com</v>
      </c>
      <c r="E153" s="2" t="s">
        <v>737</v>
      </c>
      <c r="F153">
        <v>2</v>
      </c>
      <c r="G153">
        <v>1</v>
      </c>
      <c r="H153">
        <v>1</v>
      </c>
    </row>
    <row r="154" spans="1:8" x14ac:dyDescent="0.15">
      <c r="A154">
        <v>144</v>
      </c>
      <c r="B154" t="s">
        <v>193</v>
      </c>
      <c r="C154" t="s">
        <v>577</v>
      </c>
      <c r="D154" t="str">
        <f t="shared" si="2"/>
        <v>E0144@example.com</v>
      </c>
      <c r="E154" s="2" t="s">
        <v>737</v>
      </c>
      <c r="F154">
        <v>2</v>
      </c>
      <c r="G154">
        <v>1</v>
      </c>
      <c r="H154">
        <v>1</v>
      </c>
    </row>
    <row r="155" spans="1:8" x14ac:dyDescent="0.15">
      <c r="A155">
        <v>145</v>
      </c>
      <c r="B155" t="s">
        <v>194</v>
      </c>
      <c r="C155" t="s">
        <v>578</v>
      </c>
      <c r="D155" t="str">
        <f t="shared" si="2"/>
        <v>E0145@example.com</v>
      </c>
      <c r="E155" s="2" t="s">
        <v>737</v>
      </c>
      <c r="F155">
        <v>2</v>
      </c>
      <c r="G155">
        <v>1</v>
      </c>
      <c r="H155">
        <v>1</v>
      </c>
    </row>
    <row r="156" spans="1:8" x14ac:dyDescent="0.15">
      <c r="A156">
        <v>146</v>
      </c>
      <c r="B156" t="s">
        <v>195</v>
      </c>
      <c r="C156" t="s">
        <v>579</v>
      </c>
      <c r="D156" t="str">
        <f t="shared" si="2"/>
        <v>E0146@example.com</v>
      </c>
      <c r="E156" s="2" t="s">
        <v>737</v>
      </c>
      <c r="F156">
        <v>2</v>
      </c>
      <c r="G156">
        <v>1</v>
      </c>
      <c r="H156">
        <v>1</v>
      </c>
    </row>
    <row r="157" spans="1:8" x14ac:dyDescent="0.15">
      <c r="A157">
        <v>147</v>
      </c>
      <c r="B157" t="s">
        <v>196</v>
      </c>
      <c r="C157" t="s">
        <v>580</v>
      </c>
      <c r="D157" t="str">
        <f t="shared" si="2"/>
        <v>E0147@example.com</v>
      </c>
      <c r="E157" s="2" t="s">
        <v>737</v>
      </c>
      <c r="F157">
        <v>2</v>
      </c>
      <c r="G157">
        <v>1</v>
      </c>
      <c r="H157">
        <v>1</v>
      </c>
    </row>
    <row r="158" spans="1:8" x14ac:dyDescent="0.15">
      <c r="A158">
        <v>148</v>
      </c>
      <c r="B158" t="s">
        <v>197</v>
      </c>
      <c r="C158" t="s">
        <v>581</v>
      </c>
      <c r="D158" t="str">
        <f t="shared" si="2"/>
        <v>E0148@example.com</v>
      </c>
      <c r="E158" s="2" t="s">
        <v>737</v>
      </c>
      <c r="F158">
        <v>2</v>
      </c>
      <c r="G158">
        <v>1</v>
      </c>
      <c r="H158">
        <v>1</v>
      </c>
    </row>
    <row r="159" spans="1:8" x14ac:dyDescent="0.15">
      <c r="A159">
        <v>149</v>
      </c>
      <c r="B159" t="s">
        <v>198</v>
      </c>
      <c r="C159" t="s">
        <v>582</v>
      </c>
      <c r="D159" t="str">
        <f t="shared" si="2"/>
        <v>E0149@example.com</v>
      </c>
      <c r="E159" s="2" t="s">
        <v>737</v>
      </c>
      <c r="F159">
        <v>2</v>
      </c>
      <c r="G159">
        <v>1</v>
      </c>
      <c r="H159">
        <v>1</v>
      </c>
    </row>
    <row r="160" spans="1:8" x14ac:dyDescent="0.15">
      <c r="A160">
        <v>150</v>
      </c>
      <c r="B160" t="s">
        <v>199</v>
      </c>
      <c r="C160" t="s">
        <v>583</v>
      </c>
      <c r="D160" t="str">
        <f t="shared" si="2"/>
        <v>E0150@example.com</v>
      </c>
      <c r="E160" s="2" t="s">
        <v>737</v>
      </c>
      <c r="F160">
        <v>2</v>
      </c>
      <c r="G160">
        <v>1</v>
      </c>
      <c r="H160">
        <v>1</v>
      </c>
    </row>
    <row r="161" spans="1:8" x14ac:dyDescent="0.15">
      <c r="A161">
        <v>151</v>
      </c>
      <c r="B161" t="s">
        <v>200</v>
      </c>
      <c r="C161" t="s">
        <v>584</v>
      </c>
      <c r="D161" t="str">
        <f t="shared" si="2"/>
        <v>E0151@example.com</v>
      </c>
      <c r="E161" s="2" t="s">
        <v>737</v>
      </c>
      <c r="F161">
        <v>2</v>
      </c>
      <c r="G161">
        <v>1</v>
      </c>
      <c r="H161">
        <v>1</v>
      </c>
    </row>
    <row r="162" spans="1:8" x14ac:dyDescent="0.15">
      <c r="A162">
        <v>152</v>
      </c>
      <c r="B162" t="s">
        <v>201</v>
      </c>
      <c r="C162" t="s">
        <v>585</v>
      </c>
      <c r="D162" t="str">
        <f t="shared" si="2"/>
        <v>E0152@example.com</v>
      </c>
      <c r="E162" s="2" t="s">
        <v>737</v>
      </c>
      <c r="F162">
        <v>2</v>
      </c>
      <c r="G162">
        <v>1</v>
      </c>
      <c r="H162">
        <v>1</v>
      </c>
    </row>
    <row r="163" spans="1:8" x14ac:dyDescent="0.15">
      <c r="A163">
        <v>153</v>
      </c>
      <c r="B163" t="s">
        <v>202</v>
      </c>
      <c r="C163" t="s">
        <v>586</v>
      </c>
      <c r="D163" t="str">
        <f t="shared" si="2"/>
        <v>E0153@example.com</v>
      </c>
      <c r="E163" s="2" t="s">
        <v>737</v>
      </c>
      <c r="F163">
        <v>2</v>
      </c>
      <c r="G163">
        <v>1</v>
      </c>
      <c r="H163">
        <v>1</v>
      </c>
    </row>
    <row r="164" spans="1:8" x14ac:dyDescent="0.15">
      <c r="A164">
        <v>154</v>
      </c>
      <c r="B164" t="s">
        <v>203</v>
      </c>
      <c r="C164" t="s">
        <v>587</v>
      </c>
      <c r="D164" t="str">
        <f t="shared" si="2"/>
        <v>E0154@example.com</v>
      </c>
      <c r="E164" s="2" t="s">
        <v>737</v>
      </c>
      <c r="F164">
        <v>2</v>
      </c>
      <c r="G164">
        <v>1</v>
      </c>
      <c r="H164">
        <v>1</v>
      </c>
    </row>
    <row r="165" spans="1:8" x14ac:dyDescent="0.15">
      <c r="A165">
        <v>155</v>
      </c>
      <c r="B165" t="s">
        <v>204</v>
      </c>
      <c r="C165" t="s">
        <v>588</v>
      </c>
      <c r="D165" t="str">
        <f t="shared" si="2"/>
        <v>E0155@example.com</v>
      </c>
      <c r="E165" s="2" t="s">
        <v>737</v>
      </c>
      <c r="F165">
        <v>2</v>
      </c>
      <c r="G165">
        <v>1</v>
      </c>
      <c r="H165">
        <v>1</v>
      </c>
    </row>
    <row r="166" spans="1:8" x14ac:dyDescent="0.15">
      <c r="A166">
        <v>156</v>
      </c>
      <c r="B166" t="s">
        <v>205</v>
      </c>
      <c r="C166" t="s">
        <v>589</v>
      </c>
      <c r="D166" t="str">
        <f t="shared" si="2"/>
        <v>E0156@example.com</v>
      </c>
      <c r="E166" s="2" t="s">
        <v>737</v>
      </c>
      <c r="F166">
        <v>2</v>
      </c>
      <c r="G166">
        <v>1</v>
      </c>
      <c r="H166">
        <v>1</v>
      </c>
    </row>
    <row r="167" spans="1:8" x14ac:dyDescent="0.15">
      <c r="A167">
        <v>157</v>
      </c>
      <c r="B167" t="s">
        <v>206</v>
      </c>
      <c r="C167" t="s">
        <v>590</v>
      </c>
      <c r="D167" t="str">
        <f t="shared" si="2"/>
        <v>E0157@example.com</v>
      </c>
      <c r="E167" s="2" t="s">
        <v>737</v>
      </c>
      <c r="F167">
        <v>2</v>
      </c>
      <c r="G167">
        <v>1</v>
      </c>
      <c r="H167">
        <v>1</v>
      </c>
    </row>
    <row r="168" spans="1:8" x14ac:dyDescent="0.15">
      <c r="A168">
        <v>158</v>
      </c>
      <c r="B168" t="s">
        <v>207</v>
      </c>
      <c r="C168" t="s">
        <v>591</v>
      </c>
      <c r="D168" t="str">
        <f t="shared" si="2"/>
        <v>E0158@example.com</v>
      </c>
      <c r="E168" s="2" t="s">
        <v>737</v>
      </c>
      <c r="F168">
        <v>2</v>
      </c>
      <c r="G168">
        <v>1</v>
      </c>
      <c r="H168">
        <v>3</v>
      </c>
    </row>
    <row r="169" spans="1:8" x14ac:dyDescent="0.15">
      <c r="A169">
        <v>159</v>
      </c>
      <c r="B169" t="s">
        <v>208</v>
      </c>
      <c r="C169" t="s">
        <v>592</v>
      </c>
      <c r="D169" t="str">
        <f t="shared" si="2"/>
        <v>E0159@example.com</v>
      </c>
      <c r="E169" s="2" t="s">
        <v>737</v>
      </c>
      <c r="F169">
        <v>2</v>
      </c>
      <c r="G169">
        <v>1</v>
      </c>
      <c r="H169">
        <v>3</v>
      </c>
    </row>
    <row r="170" spans="1:8" x14ac:dyDescent="0.15">
      <c r="A170">
        <v>160</v>
      </c>
      <c r="B170" t="s">
        <v>209</v>
      </c>
      <c r="C170" t="s">
        <v>593</v>
      </c>
      <c r="D170" t="str">
        <f t="shared" si="2"/>
        <v>E0160@example.com</v>
      </c>
      <c r="E170" s="2" t="s">
        <v>737</v>
      </c>
      <c r="F170">
        <v>2</v>
      </c>
      <c r="G170">
        <v>1</v>
      </c>
      <c r="H170">
        <v>3</v>
      </c>
    </row>
    <row r="171" spans="1:8" x14ac:dyDescent="0.15">
      <c r="A171">
        <v>161</v>
      </c>
      <c r="B171" t="s">
        <v>210</v>
      </c>
      <c r="C171" t="s">
        <v>594</v>
      </c>
      <c r="D171" t="str">
        <f t="shared" si="2"/>
        <v>E0161@example.com</v>
      </c>
      <c r="E171" s="2" t="s">
        <v>737</v>
      </c>
      <c r="F171">
        <v>2</v>
      </c>
      <c r="G171">
        <v>1</v>
      </c>
      <c r="H171">
        <v>3</v>
      </c>
    </row>
    <row r="172" spans="1:8" x14ac:dyDescent="0.15">
      <c r="A172">
        <v>162</v>
      </c>
      <c r="B172" t="s">
        <v>211</v>
      </c>
      <c r="C172" t="s">
        <v>595</v>
      </c>
      <c r="D172" t="str">
        <f t="shared" si="2"/>
        <v>E0162@example.com</v>
      </c>
      <c r="E172" s="2" t="s">
        <v>737</v>
      </c>
      <c r="F172">
        <v>2</v>
      </c>
      <c r="G172">
        <v>1</v>
      </c>
      <c r="H172">
        <v>3</v>
      </c>
    </row>
    <row r="173" spans="1:8" x14ac:dyDescent="0.15">
      <c r="A173">
        <v>163</v>
      </c>
      <c r="B173" t="s">
        <v>212</v>
      </c>
      <c r="C173" t="s">
        <v>596</v>
      </c>
      <c r="D173" t="str">
        <f t="shared" si="2"/>
        <v>E0163@example.com</v>
      </c>
      <c r="E173" s="2" t="s">
        <v>737</v>
      </c>
      <c r="F173">
        <v>3</v>
      </c>
      <c r="G173">
        <v>1</v>
      </c>
      <c r="H173">
        <v>3</v>
      </c>
    </row>
    <row r="174" spans="1:8" x14ac:dyDescent="0.15">
      <c r="A174">
        <v>164</v>
      </c>
      <c r="B174" t="s">
        <v>213</v>
      </c>
      <c r="C174" t="s">
        <v>597</v>
      </c>
      <c r="D174" t="str">
        <f t="shared" si="2"/>
        <v>E0164@example.com</v>
      </c>
      <c r="E174" s="2" t="s">
        <v>737</v>
      </c>
      <c r="F174">
        <v>3</v>
      </c>
      <c r="G174">
        <v>1</v>
      </c>
      <c r="H174">
        <v>3</v>
      </c>
    </row>
    <row r="175" spans="1:8" x14ac:dyDescent="0.15">
      <c r="A175">
        <v>165</v>
      </c>
      <c r="B175" t="s">
        <v>214</v>
      </c>
      <c r="C175" t="s">
        <v>598</v>
      </c>
      <c r="D175" t="str">
        <f t="shared" si="2"/>
        <v>E0165@example.com</v>
      </c>
      <c r="E175" s="2" t="s">
        <v>737</v>
      </c>
      <c r="F175">
        <v>3</v>
      </c>
      <c r="G175">
        <v>1</v>
      </c>
      <c r="H175">
        <v>3</v>
      </c>
    </row>
    <row r="176" spans="1:8" x14ac:dyDescent="0.15">
      <c r="A176">
        <v>166</v>
      </c>
      <c r="B176" t="s">
        <v>215</v>
      </c>
      <c r="C176" t="s">
        <v>599</v>
      </c>
      <c r="D176" t="str">
        <f t="shared" si="2"/>
        <v>E0166@example.com</v>
      </c>
      <c r="E176" s="2" t="s">
        <v>737</v>
      </c>
      <c r="F176">
        <v>3</v>
      </c>
      <c r="G176">
        <v>1</v>
      </c>
      <c r="H176">
        <v>3</v>
      </c>
    </row>
    <row r="177" spans="1:8" x14ac:dyDescent="0.15">
      <c r="A177">
        <v>167</v>
      </c>
      <c r="B177" t="s">
        <v>216</v>
      </c>
      <c r="C177" t="s">
        <v>600</v>
      </c>
      <c r="D177" t="str">
        <f t="shared" si="2"/>
        <v>E0167@example.com</v>
      </c>
      <c r="E177" s="2" t="s">
        <v>737</v>
      </c>
      <c r="F177">
        <v>3</v>
      </c>
      <c r="G177">
        <v>1</v>
      </c>
      <c r="H177">
        <v>3</v>
      </c>
    </row>
    <row r="178" spans="1:8" x14ac:dyDescent="0.15">
      <c r="A178">
        <v>168</v>
      </c>
      <c r="B178" t="s">
        <v>217</v>
      </c>
      <c r="C178" t="s">
        <v>601</v>
      </c>
      <c r="D178" t="str">
        <f t="shared" si="2"/>
        <v>E0168@example.com</v>
      </c>
      <c r="E178" s="2" t="s">
        <v>737</v>
      </c>
      <c r="F178">
        <v>3</v>
      </c>
      <c r="G178">
        <v>1</v>
      </c>
      <c r="H178">
        <v>3</v>
      </c>
    </row>
    <row r="179" spans="1:8" x14ac:dyDescent="0.15">
      <c r="A179">
        <v>169</v>
      </c>
      <c r="B179" t="s">
        <v>218</v>
      </c>
      <c r="C179" t="s">
        <v>602</v>
      </c>
      <c r="D179" t="str">
        <f t="shared" si="2"/>
        <v>E0169@example.com</v>
      </c>
      <c r="E179" s="2" t="s">
        <v>737</v>
      </c>
      <c r="F179">
        <v>3</v>
      </c>
      <c r="G179">
        <v>1</v>
      </c>
      <c r="H179">
        <v>3</v>
      </c>
    </row>
    <row r="180" spans="1:8" x14ac:dyDescent="0.15">
      <c r="A180">
        <v>170</v>
      </c>
      <c r="B180" t="s">
        <v>219</v>
      </c>
      <c r="C180" t="s">
        <v>603</v>
      </c>
      <c r="D180" t="str">
        <f t="shared" si="2"/>
        <v>E0170@example.com</v>
      </c>
      <c r="E180" s="2" t="s">
        <v>737</v>
      </c>
      <c r="F180">
        <v>3</v>
      </c>
      <c r="G180">
        <v>1</v>
      </c>
      <c r="H180">
        <v>2</v>
      </c>
    </row>
    <row r="181" spans="1:8" x14ac:dyDescent="0.15">
      <c r="A181">
        <v>171</v>
      </c>
      <c r="B181" t="s">
        <v>220</v>
      </c>
      <c r="C181" t="s">
        <v>604</v>
      </c>
      <c r="D181" t="str">
        <f t="shared" si="2"/>
        <v>E0171@example.com</v>
      </c>
      <c r="E181" s="2" t="s">
        <v>737</v>
      </c>
      <c r="F181">
        <v>3</v>
      </c>
      <c r="G181">
        <v>1</v>
      </c>
      <c r="H181">
        <v>2</v>
      </c>
    </row>
    <row r="182" spans="1:8" x14ac:dyDescent="0.15">
      <c r="A182">
        <v>172</v>
      </c>
      <c r="B182" t="s">
        <v>221</v>
      </c>
      <c r="C182" t="s">
        <v>605</v>
      </c>
      <c r="D182" t="str">
        <f t="shared" si="2"/>
        <v>E0172@example.com</v>
      </c>
      <c r="E182" s="2" t="s">
        <v>737</v>
      </c>
      <c r="F182">
        <v>3</v>
      </c>
      <c r="G182">
        <v>1</v>
      </c>
      <c r="H182">
        <v>2</v>
      </c>
    </row>
    <row r="183" spans="1:8" x14ac:dyDescent="0.15">
      <c r="A183">
        <v>173</v>
      </c>
      <c r="B183" t="s">
        <v>222</v>
      </c>
      <c r="C183" t="s">
        <v>606</v>
      </c>
      <c r="D183" t="str">
        <f t="shared" si="2"/>
        <v>E0173@example.com</v>
      </c>
      <c r="E183" s="2" t="s">
        <v>737</v>
      </c>
      <c r="F183">
        <v>3</v>
      </c>
      <c r="G183">
        <v>1</v>
      </c>
      <c r="H183">
        <v>2</v>
      </c>
    </row>
    <row r="184" spans="1:8" x14ac:dyDescent="0.15">
      <c r="A184">
        <v>174</v>
      </c>
      <c r="B184" t="s">
        <v>223</v>
      </c>
      <c r="C184" t="s">
        <v>607</v>
      </c>
      <c r="D184" t="str">
        <f t="shared" si="2"/>
        <v>E0174@example.com</v>
      </c>
      <c r="E184" s="2" t="s">
        <v>737</v>
      </c>
      <c r="F184">
        <v>3</v>
      </c>
      <c r="G184">
        <v>1</v>
      </c>
      <c r="H184">
        <v>1</v>
      </c>
    </row>
    <row r="185" spans="1:8" x14ac:dyDescent="0.15">
      <c r="A185">
        <v>175</v>
      </c>
      <c r="B185" t="s">
        <v>224</v>
      </c>
      <c r="C185" t="s">
        <v>608</v>
      </c>
      <c r="D185" t="str">
        <f t="shared" si="2"/>
        <v>E0175@example.com</v>
      </c>
      <c r="E185" s="2" t="s">
        <v>737</v>
      </c>
      <c r="F185">
        <v>3</v>
      </c>
      <c r="G185">
        <v>1</v>
      </c>
      <c r="H185">
        <v>1</v>
      </c>
    </row>
    <row r="186" spans="1:8" x14ac:dyDescent="0.15">
      <c r="A186">
        <v>176</v>
      </c>
      <c r="B186" t="s">
        <v>225</v>
      </c>
      <c r="C186" t="s">
        <v>609</v>
      </c>
      <c r="D186" t="str">
        <f t="shared" si="2"/>
        <v>E0176@example.com</v>
      </c>
      <c r="E186" s="2" t="s">
        <v>737</v>
      </c>
      <c r="F186">
        <v>3</v>
      </c>
      <c r="G186">
        <v>1</v>
      </c>
      <c r="H186">
        <v>1</v>
      </c>
    </row>
    <row r="187" spans="1:8" x14ac:dyDescent="0.15">
      <c r="A187">
        <v>177</v>
      </c>
      <c r="B187" t="s">
        <v>226</v>
      </c>
      <c r="C187" t="s">
        <v>610</v>
      </c>
      <c r="D187" t="str">
        <f t="shared" si="2"/>
        <v>E0177@example.com</v>
      </c>
      <c r="E187" s="2" t="s">
        <v>737</v>
      </c>
      <c r="F187">
        <v>3</v>
      </c>
      <c r="G187">
        <v>1</v>
      </c>
      <c r="H187">
        <v>1</v>
      </c>
    </row>
    <row r="188" spans="1:8" x14ac:dyDescent="0.15">
      <c r="A188">
        <v>178</v>
      </c>
      <c r="B188" t="s">
        <v>227</v>
      </c>
      <c r="C188" t="s">
        <v>611</v>
      </c>
      <c r="D188" t="str">
        <f t="shared" si="2"/>
        <v>E0178@example.com</v>
      </c>
      <c r="E188" s="2" t="s">
        <v>737</v>
      </c>
      <c r="F188">
        <v>3</v>
      </c>
      <c r="G188">
        <v>1</v>
      </c>
      <c r="H188">
        <v>1</v>
      </c>
    </row>
    <row r="189" spans="1:8" x14ac:dyDescent="0.15">
      <c r="A189">
        <v>179</v>
      </c>
      <c r="B189" t="s">
        <v>228</v>
      </c>
      <c r="C189" t="s">
        <v>612</v>
      </c>
      <c r="D189" t="str">
        <f t="shared" si="2"/>
        <v>E0179@example.com</v>
      </c>
      <c r="E189" s="2" t="s">
        <v>737</v>
      </c>
      <c r="F189">
        <v>3</v>
      </c>
      <c r="G189">
        <v>1</v>
      </c>
      <c r="H189">
        <v>1</v>
      </c>
    </row>
    <row r="190" spans="1:8" x14ac:dyDescent="0.15">
      <c r="A190">
        <v>180</v>
      </c>
      <c r="B190" t="s">
        <v>229</v>
      </c>
      <c r="C190" t="s">
        <v>613</v>
      </c>
      <c r="D190" t="str">
        <f t="shared" si="2"/>
        <v>E0180@example.com</v>
      </c>
      <c r="E190" s="2" t="s">
        <v>737</v>
      </c>
      <c r="F190">
        <v>3</v>
      </c>
      <c r="G190">
        <v>1</v>
      </c>
      <c r="H190">
        <v>1</v>
      </c>
    </row>
    <row r="191" spans="1:8" x14ac:dyDescent="0.15">
      <c r="A191">
        <v>181</v>
      </c>
      <c r="B191" t="s">
        <v>230</v>
      </c>
      <c r="C191" t="s">
        <v>614</v>
      </c>
      <c r="D191" t="str">
        <f t="shared" si="2"/>
        <v>E0181@example.com</v>
      </c>
      <c r="E191" s="2" t="s">
        <v>737</v>
      </c>
      <c r="F191">
        <v>3</v>
      </c>
      <c r="G191">
        <v>1</v>
      </c>
      <c r="H191">
        <v>1</v>
      </c>
    </row>
    <row r="192" spans="1:8" x14ac:dyDescent="0.15">
      <c r="A192">
        <v>182</v>
      </c>
      <c r="B192" t="s">
        <v>231</v>
      </c>
      <c r="C192" t="s">
        <v>615</v>
      </c>
      <c r="D192" t="str">
        <f t="shared" si="2"/>
        <v>E0182@example.com</v>
      </c>
      <c r="E192" s="2" t="s">
        <v>737</v>
      </c>
      <c r="F192">
        <v>3</v>
      </c>
      <c r="G192">
        <v>1</v>
      </c>
      <c r="H192">
        <v>1</v>
      </c>
    </row>
    <row r="193" spans="1:8" x14ac:dyDescent="0.15">
      <c r="A193">
        <v>183</v>
      </c>
      <c r="B193" t="s">
        <v>232</v>
      </c>
      <c r="C193" t="s">
        <v>616</v>
      </c>
      <c r="D193" t="str">
        <f t="shared" si="2"/>
        <v>E0183@example.com</v>
      </c>
      <c r="E193" s="2" t="s">
        <v>737</v>
      </c>
      <c r="F193">
        <v>3</v>
      </c>
      <c r="G193">
        <v>1</v>
      </c>
      <c r="H193">
        <v>2</v>
      </c>
    </row>
    <row r="194" spans="1:8" x14ac:dyDescent="0.15">
      <c r="A194">
        <v>184</v>
      </c>
      <c r="B194" t="s">
        <v>233</v>
      </c>
      <c r="C194" t="s">
        <v>617</v>
      </c>
      <c r="D194" t="str">
        <f t="shared" si="2"/>
        <v>E0184@example.com</v>
      </c>
      <c r="E194" s="2" t="s">
        <v>737</v>
      </c>
      <c r="F194">
        <v>3</v>
      </c>
      <c r="G194">
        <v>1</v>
      </c>
      <c r="H194">
        <v>2</v>
      </c>
    </row>
    <row r="195" spans="1:8" x14ac:dyDescent="0.15">
      <c r="A195">
        <v>185</v>
      </c>
      <c r="B195" t="s">
        <v>234</v>
      </c>
      <c r="C195" t="s">
        <v>618</v>
      </c>
      <c r="D195" t="str">
        <f t="shared" si="2"/>
        <v>E0185@example.com</v>
      </c>
      <c r="E195" s="2" t="s">
        <v>737</v>
      </c>
      <c r="F195">
        <v>3</v>
      </c>
      <c r="G195">
        <v>1</v>
      </c>
      <c r="H195">
        <v>2</v>
      </c>
    </row>
    <row r="196" spans="1:8" x14ac:dyDescent="0.15">
      <c r="A196">
        <v>186</v>
      </c>
      <c r="B196" t="s">
        <v>235</v>
      </c>
      <c r="C196" t="s">
        <v>619</v>
      </c>
      <c r="D196" t="str">
        <f t="shared" si="2"/>
        <v>E0186@example.com</v>
      </c>
      <c r="E196" s="2" t="s">
        <v>737</v>
      </c>
      <c r="F196">
        <v>3</v>
      </c>
      <c r="G196">
        <v>1</v>
      </c>
      <c r="H196">
        <v>2</v>
      </c>
    </row>
    <row r="197" spans="1:8" x14ac:dyDescent="0.15">
      <c r="A197">
        <v>187</v>
      </c>
      <c r="B197" t="s">
        <v>236</v>
      </c>
      <c r="C197" t="s">
        <v>620</v>
      </c>
      <c r="D197" t="str">
        <f t="shared" si="2"/>
        <v>E0187@example.com</v>
      </c>
      <c r="E197" s="2" t="s">
        <v>737</v>
      </c>
      <c r="F197">
        <v>3</v>
      </c>
      <c r="G197">
        <v>1</v>
      </c>
      <c r="H197">
        <v>2</v>
      </c>
    </row>
    <row r="198" spans="1:8" x14ac:dyDescent="0.15">
      <c r="A198">
        <v>188</v>
      </c>
      <c r="B198" t="s">
        <v>237</v>
      </c>
      <c r="C198" t="s">
        <v>621</v>
      </c>
      <c r="D198" t="str">
        <f t="shared" si="2"/>
        <v>E0188@example.com</v>
      </c>
      <c r="E198" s="2" t="s">
        <v>737</v>
      </c>
      <c r="F198">
        <v>3</v>
      </c>
      <c r="G198">
        <v>1</v>
      </c>
      <c r="H198">
        <v>2</v>
      </c>
    </row>
    <row r="199" spans="1:8" x14ac:dyDescent="0.15">
      <c r="A199">
        <v>189</v>
      </c>
      <c r="B199" t="s">
        <v>238</v>
      </c>
      <c r="C199" t="s">
        <v>622</v>
      </c>
      <c r="D199" t="str">
        <f t="shared" si="2"/>
        <v>E0189@example.com</v>
      </c>
      <c r="E199" s="2" t="s">
        <v>737</v>
      </c>
      <c r="F199">
        <v>3</v>
      </c>
      <c r="G199">
        <v>1</v>
      </c>
      <c r="H199">
        <v>2</v>
      </c>
    </row>
    <row r="200" spans="1:8" x14ac:dyDescent="0.15">
      <c r="A200">
        <v>190</v>
      </c>
      <c r="B200" t="s">
        <v>239</v>
      </c>
      <c r="C200" t="s">
        <v>623</v>
      </c>
      <c r="D200" t="str">
        <f t="shared" si="2"/>
        <v>E0190@example.com</v>
      </c>
      <c r="E200" s="2" t="s">
        <v>737</v>
      </c>
      <c r="F200">
        <v>3</v>
      </c>
      <c r="G200">
        <v>1</v>
      </c>
      <c r="H200">
        <v>2</v>
      </c>
    </row>
    <row r="201" spans="1:8" x14ac:dyDescent="0.15">
      <c r="A201">
        <v>191</v>
      </c>
      <c r="B201" t="s">
        <v>240</v>
      </c>
      <c r="C201" t="s">
        <v>624</v>
      </c>
      <c r="D201" t="str">
        <f t="shared" si="2"/>
        <v>E0191@example.com</v>
      </c>
      <c r="E201" s="2" t="s">
        <v>737</v>
      </c>
      <c r="F201">
        <v>3</v>
      </c>
      <c r="G201">
        <v>1</v>
      </c>
      <c r="H201">
        <v>2</v>
      </c>
    </row>
    <row r="202" spans="1:8" x14ac:dyDescent="0.15">
      <c r="A202">
        <v>192</v>
      </c>
      <c r="B202" t="s">
        <v>241</v>
      </c>
      <c r="C202" t="s">
        <v>625</v>
      </c>
      <c r="D202" t="str">
        <f t="shared" si="2"/>
        <v>E0192@example.com</v>
      </c>
      <c r="E202" s="2" t="s">
        <v>737</v>
      </c>
      <c r="F202">
        <v>3</v>
      </c>
      <c r="G202">
        <v>1</v>
      </c>
      <c r="H202">
        <v>2</v>
      </c>
    </row>
    <row r="203" spans="1:8" x14ac:dyDescent="0.15">
      <c r="A203">
        <v>193</v>
      </c>
      <c r="B203" t="s">
        <v>242</v>
      </c>
      <c r="C203" t="s">
        <v>626</v>
      </c>
      <c r="D203" t="str">
        <f t="shared" si="2"/>
        <v>E0193@example.com</v>
      </c>
      <c r="E203" s="2" t="s">
        <v>737</v>
      </c>
      <c r="F203">
        <v>3</v>
      </c>
      <c r="G203">
        <v>1</v>
      </c>
      <c r="H203">
        <v>2</v>
      </c>
    </row>
    <row r="204" spans="1:8" x14ac:dyDescent="0.15">
      <c r="A204">
        <v>194</v>
      </c>
      <c r="B204" t="s">
        <v>243</v>
      </c>
      <c r="C204" t="s">
        <v>627</v>
      </c>
      <c r="D204" t="str">
        <f t="shared" ref="D204:D267" si="3">B204 &amp; "@example.com"</f>
        <v>E0194@example.com</v>
      </c>
      <c r="E204" s="2" t="s">
        <v>737</v>
      </c>
      <c r="F204">
        <v>3</v>
      </c>
      <c r="G204">
        <v>1</v>
      </c>
      <c r="H204">
        <v>2</v>
      </c>
    </row>
    <row r="205" spans="1:8" x14ac:dyDescent="0.15">
      <c r="A205">
        <v>195</v>
      </c>
      <c r="B205" t="s">
        <v>244</v>
      </c>
      <c r="C205" t="s">
        <v>628</v>
      </c>
      <c r="D205" t="str">
        <f t="shared" si="3"/>
        <v>E0195@example.com</v>
      </c>
      <c r="E205" s="2" t="s">
        <v>737</v>
      </c>
      <c r="F205">
        <v>3</v>
      </c>
      <c r="G205">
        <v>1</v>
      </c>
      <c r="H205">
        <v>2</v>
      </c>
    </row>
    <row r="206" spans="1:8" x14ac:dyDescent="0.15">
      <c r="A206">
        <v>196</v>
      </c>
      <c r="B206" t="s">
        <v>245</v>
      </c>
      <c r="C206" t="s">
        <v>629</v>
      </c>
      <c r="D206" t="str">
        <f t="shared" si="3"/>
        <v>E0196@example.com</v>
      </c>
      <c r="E206" s="2" t="s">
        <v>737</v>
      </c>
      <c r="F206">
        <v>3</v>
      </c>
      <c r="G206">
        <v>1</v>
      </c>
      <c r="H206">
        <v>2</v>
      </c>
    </row>
    <row r="207" spans="1:8" x14ac:dyDescent="0.15">
      <c r="A207">
        <v>197</v>
      </c>
      <c r="B207" t="s">
        <v>246</v>
      </c>
      <c r="C207" t="s">
        <v>630</v>
      </c>
      <c r="D207" t="str">
        <f t="shared" si="3"/>
        <v>E0197@example.com</v>
      </c>
      <c r="E207" s="2" t="s">
        <v>737</v>
      </c>
      <c r="F207">
        <v>3</v>
      </c>
      <c r="G207">
        <v>1</v>
      </c>
      <c r="H207">
        <v>2</v>
      </c>
    </row>
    <row r="208" spans="1:8" x14ac:dyDescent="0.15">
      <c r="A208">
        <v>198</v>
      </c>
      <c r="B208" t="s">
        <v>247</v>
      </c>
      <c r="C208" t="s">
        <v>631</v>
      </c>
      <c r="D208" t="str">
        <f t="shared" si="3"/>
        <v>E0198@example.com</v>
      </c>
      <c r="E208" s="2" t="s">
        <v>737</v>
      </c>
      <c r="F208">
        <v>3</v>
      </c>
      <c r="G208">
        <v>1</v>
      </c>
      <c r="H208">
        <v>2</v>
      </c>
    </row>
    <row r="209" spans="1:8" x14ac:dyDescent="0.15">
      <c r="A209">
        <v>199</v>
      </c>
      <c r="B209" t="s">
        <v>248</v>
      </c>
      <c r="C209" t="s">
        <v>632</v>
      </c>
      <c r="D209" t="str">
        <f t="shared" si="3"/>
        <v>E0199@example.com</v>
      </c>
      <c r="E209" s="2" t="s">
        <v>737</v>
      </c>
      <c r="F209">
        <v>3</v>
      </c>
      <c r="G209">
        <v>1</v>
      </c>
      <c r="H209">
        <v>2</v>
      </c>
    </row>
    <row r="210" spans="1:8" x14ac:dyDescent="0.15">
      <c r="A210">
        <v>200</v>
      </c>
      <c r="B210" t="s">
        <v>249</v>
      </c>
      <c r="C210" t="s">
        <v>633</v>
      </c>
      <c r="D210" t="str">
        <f t="shared" si="3"/>
        <v>E0200@example.com</v>
      </c>
      <c r="E210" s="2" t="s">
        <v>737</v>
      </c>
      <c r="F210">
        <v>3</v>
      </c>
      <c r="G210">
        <v>1</v>
      </c>
      <c r="H210">
        <v>2</v>
      </c>
    </row>
    <row r="211" spans="1:8" x14ac:dyDescent="0.15">
      <c r="A211">
        <v>201</v>
      </c>
      <c r="B211" t="s">
        <v>250</v>
      </c>
      <c r="C211" t="s">
        <v>634</v>
      </c>
      <c r="D211" t="str">
        <f t="shared" si="3"/>
        <v>E0201@example.com</v>
      </c>
      <c r="E211" s="2" t="s">
        <v>737</v>
      </c>
      <c r="F211">
        <v>3</v>
      </c>
      <c r="G211">
        <v>1</v>
      </c>
      <c r="H211">
        <v>3</v>
      </c>
    </row>
    <row r="212" spans="1:8" x14ac:dyDescent="0.15">
      <c r="A212">
        <v>202</v>
      </c>
      <c r="B212" t="s">
        <v>251</v>
      </c>
      <c r="C212" t="s">
        <v>635</v>
      </c>
      <c r="D212" t="str">
        <f t="shared" si="3"/>
        <v>E0202@example.com</v>
      </c>
      <c r="E212" s="2" t="s">
        <v>737</v>
      </c>
      <c r="F212">
        <v>3</v>
      </c>
      <c r="G212">
        <v>1</v>
      </c>
      <c r="H212">
        <v>3</v>
      </c>
    </row>
    <row r="213" spans="1:8" x14ac:dyDescent="0.15">
      <c r="A213">
        <v>203</v>
      </c>
      <c r="B213" t="s">
        <v>252</v>
      </c>
      <c r="C213" t="s">
        <v>636</v>
      </c>
      <c r="D213" t="str">
        <f t="shared" si="3"/>
        <v>E0203@example.com</v>
      </c>
      <c r="E213" s="2" t="s">
        <v>737</v>
      </c>
      <c r="F213">
        <v>3</v>
      </c>
      <c r="G213">
        <v>1</v>
      </c>
      <c r="H213">
        <v>3</v>
      </c>
    </row>
    <row r="214" spans="1:8" x14ac:dyDescent="0.15">
      <c r="A214">
        <v>204</v>
      </c>
      <c r="B214" t="s">
        <v>253</v>
      </c>
      <c r="C214" t="s">
        <v>637</v>
      </c>
      <c r="D214" t="str">
        <f t="shared" si="3"/>
        <v>E0204@example.com</v>
      </c>
      <c r="E214" s="2" t="s">
        <v>737</v>
      </c>
      <c r="F214">
        <v>3</v>
      </c>
      <c r="G214">
        <v>1</v>
      </c>
      <c r="H214">
        <v>3</v>
      </c>
    </row>
    <row r="215" spans="1:8" x14ac:dyDescent="0.15">
      <c r="A215">
        <v>205</v>
      </c>
      <c r="B215" t="s">
        <v>254</v>
      </c>
      <c r="C215" t="s">
        <v>638</v>
      </c>
      <c r="D215" t="str">
        <f t="shared" si="3"/>
        <v>E0205@example.com</v>
      </c>
      <c r="E215" s="2" t="s">
        <v>737</v>
      </c>
      <c r="F215">
        <v>3</v>
      </c>
      <c r="G215">
        <v>1</v>
      </c>
      <c r="H215">
        <v>3</v>
      </c>
    </row>
    <row r="216" spans="1:8" x14ac:dyDescent="0.15">
      <c r="A216">
        <v>206</v>
      </c>
      <c r="B216" t="s">
        <v>255</v>
      </c>
      <c r="C216" t="s">
        <v>639</v>
      </c>
      <c r="D216" t="str">
        <f t="shared" si="3"/>
        <v>E0206@example.com</v>
      </c>
      <c r="E216" s="2" t="s">
        <v>737</v>
      </c>
      <c r="F216">
        <v>3</v>
      </c>
      <c r="G216">
        <v>1</v>
      </c>
      <c r="H216">
        <v>3</v>
      </c>
    </row>
    <row r="217" spans="1:8" x14ac:dyDescent="0.15">
      <c r="A217">
        <v>207</v>
      </c>
      <c r="B217" t="s">
        <v>256</v>
      </c>
      <c r="C217" t="s">
        <v>640</v>
      </c>
      <c r="D217" t="str">
        <f t="shared" si="3"/>
        <v>E0207@example.com</v>
      </c>
      <c r="E217" s="2" t="s">
        <v>737</v>
      </c>
      <c r="F217">
        <v>3</v>
      </c>
      <c r="G217">
        <v>1</v>
      </c>
      <c r="H217">
        <v>3</v>
      </c>
    </row>
    <row r="218" spans="1:8" x14ac:dyDescent="0.15">
      <c r="A218">
        <v>208</v>
      </c>
      <c r="B218" t="s">
        <v>257</v>
      </c>
      <c r="C218" t="s">
        <v>641</v>
      </c>
      <c r="D218" t="str">
        <f t="shared" si="3"/>
        <v>E0208@example.com</v>
      </c>
      <c r="E218" s="2" t="s">
        <v>737</v>
      </c>
      <c r="F218">
        <v>3</v>
      </c>
      <c r="G218">
        <v>1</v>
      </c>
      <c r="H218">
        <v>3</v>
      </c>
    </row>
    <row r="219" spans="1:8" x14ac:dyDescent="0.15">
      <c r="A219">
        <v>209</v>
      </c>
      <c r="B219" t="s">
        <v>258</v>
      </c>
      <c r="C219" t="s">
        <v>642</v>
      </c>
      <c r="D219" t="str">
        <f t="shared" si="3"/>
        <v>E0209@example.com</v>
      </c>
      <c r="E219" s="2" t="s">
        <v>737</v>
      </c>
      <c r="F219">
        <v>3</v>
      </c>
      <c r="G219">
        <v>1</v>
      </c>
      <c r="H219">
        <v>3</v>
      </c>
    </row>
    <row r="220" spans="1:8" x14ac:dyDescent="0.15">
      <c r="A220">
        <v>210</v>
      </c>
      <c r="B220" t="s">
        <v>259</v>
      </c>
      <c r="C220" t="s">
        <v>643</v>
      </c>
      <c r="D220" t="str">
        <f t="shared" si="3"/>
        <v>E0210@example.com</v>
      </c>
      <c r="E220" s="2" t="s">
        <v>737</v>
      </c>
      <c r="F220">
        <v>3</v>
      </c>
      <c r="G220">
        <v>1</v>
      </c>
      <c r="H220">
        <v>3</v>
      </c>
    </row>
    <row r="221" spans="1:8" x14ac:dyDescent="0.15">
      <c r="A221">
        <v>211</v>
      </c>
      <c r="B221" t="s">
        <v>260</v>
      </c>
      <c r="C221" t="s">
        <v>644</v>
      </c>
      <c r="D221" t="str">
        <f t="shared" si="3"/>
        <v>E0211@example.com</v>
      </c>
      <c r="E221" s="2" t="s">
        <v>737</v>
      </c>
      <c r="F221">
        <v>3</v>
      </c>
      <c r="G221">
        <v>1</v>
      </c>
      <c r="H221">
        <v>3</v>
      </c>
    </row>
    <row r="222" spans="1:8" x14ac:dyDescent="0.15">
      <c r="A222">
        <v>212</v>
      </c>
      <c r="B222" t="s">
        <v>261</v>
      </c>
      <c r="C222" t="s">
        <v>645</v>
      </c>
      <c r="D222" t="str">
        <f t="shared" si="3"/>
        <v>E0212@example.com</v>
      </c>
      <c r="E222" s="2" t="s">
        <v>737</v>
      </c>
      <c r="F222">
        <v>4</v>
      </c>
      <c r="G222">
        <v>1</v>
      </c>
      <c r="H222">
        <v>3</v>
      </c>
    </row>
    <row r="223" spans="1:8" x14ac:dyDescent="0.15">
      <c r="A223">
        <v>213</v>
      </c>
      <c r="B223" t="s">
        <v>262</v>
      </c>
      <c r="C223" t="s">
        <v>646</v>
      </c>
      <c r="D223" t="str">
        <f t="shared" si="3"/>
        <v>E0213@example.com</v>
      </c>
      <c r="E223" s="2" t="s">
        <v>737</v>
      </c>
      <c r="F223">
        <v>4</v>
      </c>
      <c r="G223">
        <v>1</v>
      </c>
      <c r="H223">
        <v>3</v>
      </c>
    </row>
    <row r="224" spans="1:8" x14ac:dyDescent="0.15">
      <c r="A224">
        <v>214</v>
      </c>
      <c r="B224" t="s">
        <v>263</v>
      </c>
      <c r="C224" t="s">
        <v>647</v>
      </c>
      <c r="D224" t="str">
        <f t="shared" si="3"/>
        <v>E0214@example.com</v>
      </c>
      <c r="E224" s="2" t="s">
        <v>737</v>
      </c>
      <c r="F224">
        <v>4</v>
      </c>
      <c r="G224">
        <v>1</v>
      </c>
      <c r="H224">
        <v>3</v>
      </c>
    </row>
    <row r="225" spans="1:8" x14ac:dyDescent="0.15">
      <c r="A225">
        <v>215</v>
      </c>
      <c r="B225" t="s">
        <v>264</v>
      </c>
      <c r="C225" t="s">
        <v>648</v>
      </c>
      <c r="D225" t="str">
        <f t="shared" si="3"/>
        <v>E0215@example.com</v>
      </c>
      <c r="E225" s="2" t="s">
        <v>737</v>
      </c>
      <c r="F225">
        <v>4</v>
      </c>
      <c r="G225">
        <v>1</v>
      </c>
      <c r="H225">
        <v>3</v>
      </c>
    </row>
    <row r="226" spans="1:8" x14ac:dyDescent="0.15">
      <c r="A226">
        <v>216</v>
      </c>
      <c r="B226" t="s">
        <v>265</v>
      </c>
      <c r="C226" t="s">
        <v>649</v>
      </c>
      <c r="D226" t="str">
        <f t="shared" si="3"/>
        <v>E0216@example.com</v>
      </c>
      <c r="E226" s="2" t="s">
        <v>737</v>
      </c>
      <c r="F226">
        <v>4</v>
      </c>
      <c r="G226">
        <v>1</v>
      </c>
      <c r="H226">
        <v>3</v>
      </c>
    </row>
    <row r="227" spans="1:8" x14ac:dyDescent="0.15">
      <c r="A227">
        <v>217</v>
      </c>
      <c r="B227" t="s">
        <v>266</v>
      </c>
      <c r="C227" t="s">
        <v>650</v>
      </c>
      <c r="D227" t="str">
        <f t="shared" si="3"/>
        <v>E0217@example.com</v>
      </c>
      <c r="E227" s="2" t="s">
        <v>737</v>
      </c>
      <c r="F227">
        <v>4</v>
      </c>
      <c r="G227">
        <v>1</v>
      </c>
      <c r="H227">
        <v>3</v>
      </c>
    </row>
    <row r="228" spans="1:8" x14ac:dyDescent="0.15">
      <c r="A228">
        <v>218</v>
      </c>
      <c r="B228" t="s">
        <v>267</v>
      </c>
      <c r="C228" t="s">
        <v>651</v>
      </c>
      <c r="D228" t="str">
        <f t="shared" si="3"/>
        <v>E0218@example.com</v>
      </c>
      <c r="E228" s="2" t="s">
        <v>737</v>
      </c>
      <c r="F228">
        <v>4</v>
      </c>
      <c r="G228">
        <v>1</v>
      </c>
      <c r="H228">
        <v>3</v>
      </c>
    </row>
    <row r="229" spans="1:8" x14ac:dyDescent="0.15">
      <c r="A229">
        <v>219</v>
      </c>
      <c r="B229" t="s">
        <v>268</v>
      </c>
      <c r="C229" t="s">
        <v>351</v>
      </c>
      <c r="D229" t="str">
        <f t="shared" si="3"/>
        <v>E0219@example.com</v>
      </c>
      <c r="E229" s="2" t="s">
        <v>737</v>
      </c>
      <c r="F229">
        <v>4</v>
      </c>
      <c r="G229">
        <v>1</v>
      </c>
      <c r="H229">
        <v>2</v>
      </c>
    </row>
    <row r="230" spans="1:8" x14ac:dyDescent="0.15">
      <c r="A230">
        <v>220</v>
      </c>
      <c r="B230" t="s">
        <v>269</v>
      </c>
      <c r="C230" t="s">
        <v>352</v>
      </c>
      <c r="D230" t="str">
        <f t="shared" si="3"/>
        <v>E0220@example.com</v>
      </c>
      <c r="E230" s="2" t="s">
        <v>737</v>
      </c>
      <c r="F230">
        <v>4</v>
      </c>
      <c r="G230">
        <v>1</v>
      </c>
      <c r="H230">
        <v>2</v>
      </c>
    </row>
    <row r="231" spans="1:8" x14ac:dyDescent="0.15">
      <c r="A231">
        <v>221</v>
      </c>
      <c r="B231" t="s">
        <v>270</v>
      </c>
      <c r="C231" t="s">
        <v>353</v>
      </c>
      <c r="D231" t="str">
        <f t="shared" si="3"/>
        <v>E0221@example.com</v>
      </c>
      <c r="E231" s="2" t="s">
        <v>737</v>
      </c>
      <c r="F231">
        <v>4</v>
      </c>
      <c r="G231">
        <v>1</v>
      </c>
      <c r="H231">
        <v>2</v>
      </c>
    </row>
    <row r="232" spans="1:8" x14ac:dyDescent="0.15">
      <c r="A232">
        <v>222</v>
      </c>
      <c r="B232" t="s">
        <v>271</v>
      </c>
      <c r="C232" t="s">
        <v>354</v>
      </c>
      <c r="D232" t="str">
        <f t="shared" si="3"/>
        <v>E0222@example.com</v>
      </c>
      <c r="E232" s="2" t="s">
        <v>737</v>
      </c>
      <c r="F232">
        <v>4</v>
      </c>
      <c r="G232">
        <v>1</v>
      </c>
      <c r="H232">
        <v>2</v>
      </c>
    </row>
    <row r="233" spans="1:8" x14ac:dyDescent="0.15">
      <c r="A233">
        <v>223</v>
      </c>
      <c r="B233" t="s">
        <v>272</v>
      </c>
      <c r="C233" t="s">
        <v>355</v>
      </c>
      <c r="D233" t="str">
        <f t="shared" si="3"/>
        <v>E0223@example.com</v>
      </c>
      <c r="E233" s="2" t="s">
        <v>737</v>
      </c>
      <c r="F233">
        <v>4</v>
      </c>
      <c r="G233">
        <v>1</v>
      </c>
      <c r="H233">
        <v>2</v>
      </c>
    </row>
    <row r="234" spans="1:8" x14ac:dyDescent="0.15">
      <c r="A234">
        <v>224</v>
      </c>
      <c r="B234" t="s">
        <v>273</v>
      </c>
      <c r="C234" t="s">
        <v>356</v>
      </c>
      <c r="D234" t="str">
        <f t="shared" si="3"/>
        <v>E0224@example.com</v>
      </c>
      <c r="E234" s="2" t="s">
        <v>737</v>
      </c>
      <c r="F234">
        <v>4</v>
      </c>
      <c r="G234">
        <v>1</v>
      </c>
      <c r="H234">
        <v>2</v>
      </c>
    </row>
    <row r="235" spans="1:8" x14ac:dyDescent="0.15">
      <c r="A235">
        <v>225</v>
      </c>
      <c r="B235" t="s">
        <v>274</v>
      </c>
      <c r="C235" t="s">
        <v>357</v>
      </c>
      <c r="D235" t="str">
        <f t="shared" si="3"/>
        <v>E0225@example.com</v>
      </c>
      <c r="E235" s="2" t="s">
        <v>737</v>
      </c>
      <c r="F235">
        <v>4</v>
      </c>
      <c r="G235">
        <v>1</v>
      </c>
      <c r="H235">
        <v>2</v>
      </c>
    </row>
    <row r="236" spans="1:8" x14ac:dyDescent="0.15">
      <c r="A236">
        <v>226</v>
      </c>
      <c r="B236" t="s">
        <v>275</v>
      </c>
      <c r="C236" t="s">
        <v>358</v>
      </c>
      <c r="D236" t="str">
        <f t="shared" si="3"/>
        <v>E0226@example.com</v>
      </c>
      <c r="E236" s="2" t="s">
        <v>737</v>
      </c>
      <c r="F236">
        <v>4</v>
      </c>
      <c r="G236">
        <v>1</v>
      </c>
      <c r="H236">
        <v>2</v>
      </c>
    </row>
    <row r="237" spans="1:8" x14ac:dyDescent="0.15">
      <c r="A237">
        <v>227</v>
      </c>
      <c r="B237" t="s">
        <v>276</v>
      </c>
      <c r="C237" t="s">
        <v>359</v>
      </c>
      <c r="D237" t="str">
        <f t="shared" si="3"/>
        <v>E0227@example.com</v>
      </c>
      <c r="E237" s="2" t="s">
        <v>737</v>
      </c>
      <c r="F237">
        <v>4</v>
      </c>
      <c r="G237">
        <v>1</v>
      </c>
      <c r="H237">
        <v>2</v>
      </c>
    </row>
    <row r="238" spans="1:8" x14ac:dyDescent="0.15">
      <c r="A238">
        <v>228</v>
      </c>
      <c r="B238" t="s">
        <v>277</v>
      </c>
      <c r="C238" t="s">
        <v>360</v>
      </c>
      <c r="D238" t="str">
        <f t="shared" si="3"/>
        <v>E0228@example.com</v>
      </c>
      <c r="E238" s="2" t="s">
        <v>737</v>
      </c>
      <c r="F238">
        <v>4</v>
      </c>
      <c r="G238">
        <v>1</v>
      </c>
      <c r="H238">
        <v>2</v>
      </c>
    </row>
    <row r="239" spans="1:8" x14ac:dyDescent="0.15">
      <c r="A239">
        <v>229</v>
      </c>
      <c r="B239" t="s">
        <v>278</v>
      </c>
      <c r="C239" t="s">
        <v>361</v>
      </c>
      <c r="D239" t="str">
        <f t="shared" si="3"/>
        <v>E0229@example.com</v>
      </c>
      <c r="E239" s="2" t="s">
        <v>737</v>
      </c>
      <c r="F239">
        <v>4</v>
      </c>
      <c r="G239">
        <v>1</v>
      </c>
      <c r="H239">
        <v>2</v>
      </c>
    </row>
    <row r="240" spans="1:8" x14ac:dyDescent="0.15">
      <c r="A240">
        <v>230</v>
      </c>
      <c r="B240" t="s">
        <v>279</v>
      </c>
      <c r="C240" t="s">
        <v>362</v>
      </c>
      <c r="D240" t="str">
        <f t="shared" si="3"/>
        <v>E0230@example.com</v>
      </c>
      <c r="E240" s="2" t="s">
        <v>737</v>
      </c>
      <c r="F240">
        <v>4</v>
      </c>
      <c r="G240">
        <v>1</v>
      </c>
      <c r="H240">
        <v>2</v>
      </c>
    </row>
    <row r="241" spans="1:8" x14ac:dyDescent="0.15">
      <c r="A241">
        <v>231</v>
      </c>
      <c r="B241" t="s">
        <v>280</v>
      </c>
      <c r="C241" t="s">
        <v>363</v>
      </c>
      <c r="D241" t="str">
        <f t="shared" si="3"/>
        <v>E0231@example.com</v>
      </c>
      <c r="E241" s="2" t="s">
        <v>737</v>
      </c>
      <c r="F241">
        <v>4</v>
      </c>
      <c r="G241">
        <v>1</v>
      </c>
      <c r="H241">
        <v>2</v>
      </c>
    </row>
    <row r="242" spans="1:8" x14ac:dyDescent="0.15">
      <c r="A242">
        <v>232</v>
      </c>
      <c r="B242" t="s">
        <v>281</v>
      </c>
      <c r="C242" t="s">
        <v>364</v>
      </c>
      <c r="D242" t="str">
        <f t="shared" si="3"/>
        <v>E0232@example.com</v>
      </c>
      <c r="E242" s="2" t="s">
        <v>737</v>
      </c>
      <c r="F242">
        <v>4</v>
      </c>
      <c r="G242">
        <v>1</v>
      </c>
      <c r="H242">
        <v>2</v>
      </c>
    </row>
    <row r="243" spans="1:8" x14ac:dyDescent="0.15">
      <c r="A243">
        <v>233</v>
      </c>
      <c r="B243" t="s">
        <v>282</v>
      </c>
      <c r="C243" t="s">
        <v>365</v>
      </c>
      <c r="D243" t="str">
        <f t="shared" si="3"/>
        <v>E0233@example.com</v>
      </c>
      <c r="E243" s="2" t="s">
        <v>737</v>
      </c>
      <c r="F243">
        <v>4</v>
      </c>
      <c r="G243">
        <v>1</v>
      </c>
      <c r="H243">
        <v>2</v>
      </c>
    </row>
    <row r="244" spans="1:8" x14ac:dyDescent="0.15">
      <c r="A244">
        <v>234</v>
      </c>
      <c r="B244" t="s">
        <v>283</v>
      </c>
      <c r="C244" t="s">
        <v>366</v>
      </c>
      <c r="D244" t="str">
        <f t="shared" si="3"/>
        <v>E0234@example.com</v>
      </c>
      <c r="E244" s="2" t="s">
        <v>737</v>
      </c>
      <c r="F244">
        <v>4</v>
      </c>
      <c r="G244">
        <v>1</v>
      </c>
      <c r="H244">
        <v>2</v>
      </c>
    </row>
    <row r="245" spans="1:8" x14ac:dyDescent="0.15">
      <c r="A245">
        <v>235</v>
      </c>
      <c r="B245" t="s">
        <v>284</v>
      </c>
      <c r="C245" t="s">
        <v>367</v>
      </c>
      <c r="D245" t="str">
        <f t="shared" si="3"/>
        <v>E0235@example.com</v>
      </c>
      <c r="E245" s="2" t="s">
        <v>737</v>
      </c>
      <c r="F245">
        <v>4</v>
      </c>
      <c r="G245">
        <v>1</v>
      </c>
      <c r="H245">
        <v>2</v>
      </c>
    </row>
    <row r="246" spans="1:8" x14ac:dyDescent="0.15">
      <c r="A246">
        <v>236</v>
      </c>
      <c r="B246" t="s">
        <v>285</v>
      </c>
      <c r="C246" t="s">
        <v>368</v>
      </c>
      <c r="D246" t="str">
        <f t="shared" si="3"/>
        <v>E0236@example.com</v>
      </c>
      <c r="E246" s="2" t="s">
        <v>737</v>
      </c>
      <c r="F246">
        <v>4</v>
      </c>
      <c r="G246">
        <v>1</v>
      </c>
      <c r="H246">
        <v>2</v>
      </c>
    </row>
    <row r="247" spans="1:8" x14ac:dyDescent="0.15">
      <c r="A247">
        <v>237</v>
      </c>
      <c r="B247" t="s">
        <v>286</v>
      </c>
      <c r="C247" t="s">
        <v>369</v>
      </c>
      <c r="D247" t="str">
        <f t="shared" si="3"/>
        <v>E0237@example.com</v>
      </c>
      <c r="E247" s="2" t="s">
        <v>737</v>
      </c>
      <c r="F247">
        <v>4</v>
      </c>
      <c r="G247">
        <v>1</v>
      </c>
      <c r="H247">
        <v>2</v>
      </c>
    </row>
    <row r="248" spans="1:8" x14ac:dyDescent="0.15">
      <c r="A248">
        <v>238</v>
      </c>
      <c r="B248" t="s">
        <v>287</v>
      </c>
      <c r="C248" t="s">
        <v>370</v>
      </c>
      <c r="D248" t="str">
        <f t="shared" si="3"/>
        <v>E0238@example.com</v>
      </c>
      <c r="E248" s="2" t="s">
        <v>737</v>
      </c>
      <c r="F248">
        <v>4</v>
      </c>
      <c r="G248">
        <v>1</v>
      </c>
      <c r="H248">
        <v>2</v>
      </c>
    </row>
    <row r="249" spans="1:8" x14ac:dyDescent="0.15">
      <c r="A249">
        <v>239</v>
      </c>
      <c r="B249" t="s">
        <v>288</v>
      </c>
      <c r="C249" t="s">
        <v>371</v>
      </c>
      <c r="D249" t="str">
        <f t="shared" si="3"/>
        <v>E0239@example.com</v>
      </c>
      <c r="E249" s="2" t="s">
        <v>737</v>
      </c>
      <c r="F249">
        <v>4</v>
      </c>
      <c r="G249">
        <v>1</v>
      </c>
      <c r="H249">
        <v>2</v>
      </c>
    </row>
    <row r="250" spans="1:8" x14ac:dyDescent="0.15">
      <c r="A250">
        <v>240</v>
      </c>
      <c r="B250" t="s">
        <v>289</v>
      </c>
      <c r="C250" t="s">
        <v>372</v>
      </c>
      <c r="D250" t="str">
        <f t="shared" si="3"/>
        <v>E0240@example.com</v>
      </c>
      <c r="E250" s="2" t="s">
        <v>737</v>
      </c>
      <c r="F250">
        <v>4</v>
      </c>
      <c r="G250">
        <v>1</v>
      </c>
      <c r="H250">
        <v>3</v>
      </c>
    </row>
    <row r="251" spans="1:8" x14ac:dyDescent="0.15">
      <c r="A251">
        <v>241</v>
      </c>
      <c r="B251" t="s">
        <v>290</v>
      </c>
      <c r="C251" t="s">
        <v>373</v>
      </c>
      <c r="D251" t="str">
        <f t="shared" si="3"/>
        <v>E0241@example.com</v>
      </c>
      <c r="E251" s="2" t="s">
        <v>737</v>
      </c>
      <c r="F251">
        <v>4</v>
      </c>
      <c r="G251">
        <v>1</v>
      </c>
      <c r="H251">
        <v>3</v>
      </c>
    </row>
    <row r="252" spans="1:8" x14ac:dyDescent="0.15">
      <c r="A252">
        <v>242</v>
      </c>
      <c r="B252" t="s">
        <v>291</v>
      </c>
      <c r="C252" t="s">
        <v>374</v>
      </c>
      <c r="D252" t="str">
        <f t="shared" si="3"/>
        <v>E0242@example.com</v>
      </c>
      <c r="E252" s="2" t="s">
        <v>737</v>
      </c>
      <c r="F252">
        <v>4</v>
      </c>
      <c r="G252">
        <v>1</v>
      </c>
      <c r="H252">
        <v>3</v>
      </c>
    </row>
    <row r="253" spans="1:8" x14ac:dyDescent="0.15">
      <c r="A253">
        <v>243</v>
      </c>
      <c r="B253" t="s">
        <v>292</v>
      </c>
      <c r="C253" t="s">
        <v>375</v>
      </c>
      <c r="D253" t="str">
        <f t="shared" si="3"/>
        <v>E0243@example.com</v>
      </c>
      <c r="E253" s="2" t="s">
        <v>737</v>
      </c>
      <c r="F253">
        <v>4</v>
      </c>
      <c r="G253">
        <v>1</v>
      </c>
      <c r="H253">
        <v>3</v>
      </c>
    </row>
    <row r="254" spans="1:8" x14ac:dyDescent="0.15">
      <c r="A254">
        <v>244</v>
      </c>
      <c r="B254" t="s">
        <v>293</v>
      </c>
      <c r="C254" t="s">
        <v>376</v>
      </c>
      <c r="D254" t="str">
        <f t="shared" si="3"/>
        <v>E0244@example.com</v>
      </c>
      <c r="E254" s="2" t="s">
        <v>737</v>
      </c>
      <c r="F254">
        <v>4</v>
      </c>
      <c r="G254">
        <v>1</v>
      </c>
      <c r="H254">
        <v>3</v>
      </c>
    </row>
    <row r="255" spans="1:8" x14ac:dyDescent="0.15">
      <c r="A255">
        <v>245</v>
      </c>
      <c r="B255" t="s">
        <v>294</v>
      </c>
      <c r="C255" t="s">
        <v>377</v>
      </c>
      <c r="D255" t="str">
        <f t="shared" si="3"/>
        <v>E0245@example.com</v>
      </c>
      <c r="E255" s="2" t="s">
        <v>737</v>
      </c>
      <c r="F255">
        <v>4</v>
      </c>
      <c r="G255">
        <v>1</v>
      </c>
      <c r="H255">
        <v>3</v>
      </c>
    </row>
    <row r="256" spans="1:8" x14ac:dyDescent="0.15">
      <c r="A256">
        <v>246</v>
      </c>
      <c r="B256" t="s">
        <v>295</v>
      </c>
      <c r="C256" t="s">
        <v>378</v>
      </c>
      <c r="D256" t="str">
        <f t="shared" si="3"/>
        <v>E0246@example.com</v>
      </c>
      <c r="E256" s="2" t="s">
        <v>737</v>
      </c>
      <c r="F256">
        <v>4</v>
      </c>
      <c r="G256">
        <v>1</v>
      </c>
      <c r="H256">
        <v>3</v>
      </c>
    </row>
    <row r="257" spans="1:8" x14ac:dyDescent="0.15">
      <c r="A257">
        <v>247</v>
      </c>
      <c r="B257" t="s">
        <v>296</v>
      </c>
      <c r="C257" t="s">
        <v>379</v>
      </c>
      <c r="D257" t="str">
        <f t="shared" si="3"/>
        <v>E0247@example.com</v>
      </c>
      <c r="E257" s="2" t="s">
        <v>737</v>
      </c>
      <c r="F257">
        <v>4</v>
      </c>
      <c r="G257">
        <v>1</v>
      </c>
      <c r="H257">
        <v>3</v>
      </c>
    </row>
    <row r="258" spans="1:8" x14ac:dyDescent="0.15">
      <c r="A258">
        <v>248</v>
      </c>
      <c r="B258" t="s">
        <v>297</v>
      </c>
      <c r="C258" t="s">
        <v>380</v>
      </c>
      <c r="D258" t="str">
        <f t="shared" si="3"/>
        <v>E0248@example.com</v>
      </c>
      <c r="E258" s="2" t="s">
        <v>737</v>
      </c>
      <c r="F258">
        <v>4</v>
      </c>
      <c r="G258">
        <v>1</v>
      </c>
      <c r="H258">
        <v>3</v>
      </c>
    </row>
    <row r="259" spans="1:8" x14ac:dyDescent="0.15">
      <c r="A259">
        <v>249</v>
      </c>
      <c r="B259" t="s">
        <v>298</v>
      </c>
      <c r="C259" t="s">
        <v>381</v>
      </c>
      <c r="D259" t="str">
        <f t="shared" si="3"/>
        <v>E0249@example.com</v>
      </c>
      <c r="E259" s="2" t="s">
        <v>737</v>
      </c>
      <c r="F259">
        <v>4</v>
      </c>
      <c r="G259">
        <v>1</v>
      </c>
      <c r="H259">
        <v>3</v>
      </c>
    </row>
    <row r="260" spans="1:8" x14ac:dyDescent="0.15">
      <c r="A260">
        <v>250</v>
      </c>
      <c r="B260" t="s">
        <v>299</v>
      </c>
      <c r="C260" t="s">
        <v>382</v>
      </c>
      <c r="D260" t="str">
        <f t="shared" si="3"/>
        <v>E0250@example.com</v>
      </c>
      <c r="E260" s="2" t="s">
        <v>737</v>
      </c>
      <c r="F260">
        <v>4</v>
      </c>
      <c r="G260">
        <v>1</v>
      </c>
      <c r="H260">
        <v>3</v>
      </c>
    </row>
    <row r="261" spans="1:8" x14ac:dyDescent="0.15">
      <c r="A261">
        <v>251</v>
      </c>
      <c r="B261" t="s">
        <v>300</v>
      </c>
      <c r="C261" t="s">
        <v>383</v>
      </c>
      <c r="D261" t="str">
        <f t="shared" si="3"/>
        <v>E0251@example.com</v>
      </c>
      <c r="E261" s="2" t="s">
        <v>737</v>
      </c>
      <c r="F261">
        <v>4</v>
      </c>
      <c r="G261">
        <v>1</v>
      </c>
      <c r="H261">
        <v>3</v>
      </c>
    </row>
    <row r="262" spans="1:8" x14ac:dyDescent="0.15">
      <c r="A262">
        <v>252</v>
      </c>
      <c r="B262" t="s">
        <v>301</v>
      </c>
      <c r="C262" t="s">
        <v>384</v>
      </c>
      <c r="D262" t="str">
        <f t="shared" si="3"/>
        <v>E0252@example.com</v>
      </c>
      <c r="E262" s="2" t="s">
        <v>737</v>
      </c>
      <c r="F262">
        <v>4</v>
      </c>
      <c r="G262">
        <v>1</v>
      </c>
      <c r="H262">
        <v>3</v>
      </c>
    </row>
    <row r="263" spans="1:8" x14ac:dyDescent="0.15">
      <c r="A263">
        <v>253</v>
      </c>
      <c r="B263" t="s">
        <v>302</v>
      </c>
      <c r="C263" t="s">
        <v>385</v>
      </c>
      <c r="D263" t="str">
        <f t="shared" si="3"/>
        <v>E0253@example.com</v>
      </c>
      <c r="E263" s="2" t="s">
        <v>737</v>
      </c>
      <c r="F263">
        <v>4</v>
      </c>
      <c r="G263">
        <v>1</v>
      </c>
      <c r="H263">
        <v>3</v>
      </c>
    </row>
    <row r="264" spans="1:8" x14ac:dyDescent="0.15">
      <c r="A264">
        <v>254</v>
      </c>
      <c r="B264" t="s">
        <v>303</v>
      </c>
      <c r="C264" t="s">
        <v>386</v>
      </c>
      <c r="D264" t="str">
        <f t="shared" si="3"/>
        <v>E0254@example.com</v>
      </c>
      <c r="E264" s="2" t="s">
        <v>737</v>
      </c>
      <c r="F264">
        <v>4</v>
      </c>
      <c r="G264">
        <v>1</v>
      </c>
      <c r="H264">
        <v>3</v>
      </c>
    </row>
    <row r="265" spans="1:8" x14ac:dyDescent="0.15">
      <c r="A265">
        <v>255</v>
      </c>
      <c r="B265" t="s">
        <v>304</v>
      </c>
      <c r="C265" t="s">
        <v>387</v>
      </c>
      <c r="D265" t="str">
        <f t="shared" si="3"/>
        <v>E0255@example.com</v>
      </c>
      <c r="E265" s="2" t="s">
        <v>737</v>
      </c>
      <c r="F265">
        <v>4</v>
      </c>
      <c r="G265">
        <v>1</v>
      </c>
      <c r="H265">
        <v>3</v>
      </c>
    </row>
    <row r="266" spans="1:8" x14ac:dyDescent="0.15">
      <c r="A266">
        <v>256</v>
      </c>
      <c r="B266" t="s">
        <v>305</v>
      </c>
      <c r="C266" t="s">
        <v>388</v>
      </c>
      <c r="D266" t="str">
        <f t="shared" si="3"/>
        <v>E0256@example.com</v>
      </c>
      <c r="E266" s="2" t="s">
        <v>737</v>
      </c>
      <c r="F266">
        <v>4</v>
      </c>
      <c r="G266">
        <v>1</v>
      </c>
      <c r="H266">
        <v>3</v>
      </c>
    </row>
    <row r="267" spans="1:8" x14ac:dyDescent="0.15">
      <c r="A267">
        <v>257</v>
      </c>
      <c r="B267" t="s">
        <v>306</v>
      </c>
      <c r="C267" t="s">
        <v>389</v>
      </c>
      <c r="D267" t="str">
        <f t="shared" si="3"/>
        <v>E0257@example.com</v>
      </c>
      <c r="E267" s="2" t="s">
        <v>737</v>
      </c>
      <c r="F267">
        <v>4</v>
      </c>
      <c r="G267">
        <v>1</v>
      </c>
      <c r="H267">
        <v>3</v>
      </c>
    </row>
    <row r="268" spans="1:8" x14ac:dyDescent="0.15">
      <c r="A268">
        <v>258</v>
      </c>
      <c r="B268" t="s">
        <v>307</v>
      </c>
      <c r="C268" t="s">
        <v>390</v>
      </c>
      <c r="D268" t="str">
        <f t="shared" ref="D268:D311" si="4">B268 &amp; "@example.com"</f>
        <v>E0258@example.com</v>
      </c>
      <c r="E268" s="2" t="s">
        <v>737</v>
      </c>
      <c r="F268">
        <v>4</v>
      </c>
      <c r="G268">
        <v>1</v>
      </c>
      <c r="H268">
        <v>3</v>
      </c>
    </row>
    <row r="269" spans="1:8" x14ac:dyDescent="0.15">
      <c r="A269">
        <v>259</v>
      </c>
      <c r="B269" t="s">
        <v>308</v>
      </c>
      <c r="C269" t="s">
        <v>391</v>
      </c>
      <c r="D269" t="str">
        <f t="shared" si="4"/>
        <v>E0259@example.com</v>
      </c>
      <c r="E269" s="2" t="s">
        <v>737</v>
      </c>
      <c r="F269">
        <v>4</v>
      </c>
      <c r="G269">
        <v>1</v>
      </c>
      <c r="H269">
        <v>3</v>
      </c>
    </row>
    <row r="270" spans="1:8" x14ac:dyDescent="0.15">
      <c r="A270">
        <v>260</v>
      </c>
      <c r="B270" t="s">
        <v>309</v>
      </c>
      <c r="C270" t="s">
        <v>392</v>
      </c>
      <c r="D270" t="str">
        <f t="shared" si="4"/>
        <v>E0260@example.com</v>
      </c>
      <c r="E270" s="2" t="s">
        <v>737</v>
      </c>
      <c r="F270">
        <v>4</v>
      </c>
      <c r="G270">
        <v>1</v>
      </c>
      <c r="H270">
        <v>2</v>
      </c>
    </row>
    <row r="271" spans="1:8" x14ac:dyDescent="0.15">
      <c r="A271">
        <v>261</v>
      </c>
      <c r="B271" t="s">
        <v>310</v>
      </c>
      <c r="C271" t="s">
        <v>393</v>
      </c>
      <c r="D271" t="str">
        <f t="shared" si="4"/>
        <v>E0261@example.com</v>
      </c>
      <c r="E271" s="2" t="s">
        <v>737</v>
      </c>
      <c r="F271">
        <v>4</v>
      </c>
      <c r="G271">
        <v>1</v>
      </c>
      <c r="H271">
        <v>2</v>
      </c>
    </row>
    <row r="272" spans="1:8" x14ac:dyDescent="0.15">
      <c r="A272">
        <v>262</v>
      </c>
      <c r="B272" t="s">
        <v>311</v>
      </c>
      <c r="C272" t="s">
        <v>394</v>
      </c>
      <c r="D272" t="str">
        <f t="shared" si="4"/>
        <v>E0262@example.com</v>
      </c>
      <c r="E272" s="2" t="s">
        <v>737</v>
      </c>
      <c r="F272">
        <v>4</v>
      </c>
      <c r="G272">
        <v>1</v>
      </c>
      <c r="H272">
        <v>2</v>
      </c>
    </row>
    <row r="273" spans="1:8" x14ac:dyDescent="0.15">
      <c r="A273">
        <v>263</v>
      </c>
      <c r="B273" t="s">
        <v>312</v>
      </c>
      <c r="C273" t="s">
        <v>395</v>
      </c>
      <c r="D273" t="str">
        <f t="shared" si="4"/>
        <v>E0263@example.com</v>
      </c>
      <c r="E273" s="2" t="s">
        <v>737</v>
      </c>
      <c r="F273">
        <v>4</v>
      </c>
      <c r="G273">
        <v>1</v>
      </c>
      <c r="H273">
        <v>2</v>
      </c>
    </row>
    <row r="274" spans="1:8" x14ac:dyDescent="0.15">
      <c r="A274">
        <v>264</v>
      </c>
      <c r="B274" t="s">
        <v>313</v>
      </c>
      <c r="C274" t="s">
        <v>396</v>
      </c>
      <c r="D274" t="str">
        <f t="shared" si="4"/>
        <v>E0264@example.com</v>
      </c>
      <c r="E274" s="2" t="s">
        <v>737</v>
      </c>
      <c r="F274">
        <v>4</v>
      </c>
      <c r="G274">
        <v>1</v>
      </c>
      <c r="H274">
        <v>2</v>
      </c>
    </row>
    <row r="275" spans="1:8" x14ac:dyDescent="0.15">
      <c r="A275">
        <v>265</v>
      </c>
      <c r="B275" t="s">
        <v>314</v>
      </c>
      <c r="C275" t="s">
        <v>397</v>
      </c>
      <c r="D275" t="str">
        <f t="shared" si="4"/>
        <v>E0265@example.com</v>
      </c>
      <c r="E275" s="2" t="s">
        <v>737</v>
      </c>
      <c r="F275">
        <v>4</v>
      </c>
      <c r="G275">
        <v>1</v>
      </c>
      <c r="H275">
        <v>2</v>
      </c>
    </row>
    <row r="276" spans="1:8" x14ac:dyDescent="0.15">
      <c r="A276">
        <v>266</v>
      </c>
      <c r="B276" t="s">
        <v>315</v>
      </c>
      <c r="C276" t="s">
        <v>398</v>
      </c>
      <c r="D276" t="str">
        <f t="shared" si="4"/>
        <v>E0266@example.com</v>
      </c>
      <c r="E276" s="2" t="s">
        <v>737</v>
      </c>
      <c r="F276">
        <v>4</v>
      </c>
      <c r="G276">
        <v>1</v>
      </c>
      <c r="H276">
        <v>2</v>
      </c>
    </row>
    <row r="277" spans="1:8" x14ac:dyDescent="0.15">
      <c r="A277">
        <v>267</v>
      </c>
      <c r="B277" t="s">
        <v>316</v>
      </c>
      <c r="C277" t="s">
        <v>399</v>
      </c>
      <c r="D277" t="str">
        <f t="shared" si="4"/>
        <v>E0267@example.com</v>
      </c>
      <c r="E277" s="2" t="s">
        <v>737</v>
      </c>
      <c r="F277">
        <v>5</v>
      </c>
      <c r="G277">
        <v>1</v>
      </c>
      <c r="H277">
        <v>2</v>
      </c>
    </row>
    <row r="278" spans="1:8" x14ac:dyDescent="0.15">
      <c r="A278">
        <v>268</v>
      </c>
      <c r="B278" t="s">
        <v>317</v>
      </c>
      <c r="C278" t="s">
        <v>400</v>
      </c>
      <c r="D278" t="str">
        <f t="shared" si="4"/>
        <v>E0268@example.com</v>
      </c>
      <c r="E278" s="2" t="s">
        <v>737</v>
      </c>
      <c r="F278">
        <v>5</v>
      </c>
      <c r="G278">
        <v>1</v>
      </c>
      <c r="H278">
        <v>2</v>
      </c>
    </row>
    <row r="279" spans="1:8" x14ac:dyDescent="0.15">
      <c r="A279">
        <v>269</v>
      </c>
      <c r="B279" t="s">
        <v>318</v>
      </c>
      <c r="C279" t="s">
        <v>401</v>
      </c>
      <c r="D279" t="str">
        <f t="shared" si="4"/>
        <v>E0269@example.com</v>
      </c>
      <c r="E279" s="2" t="s">
        <v>737</v>
      </c>
      <c r="F279">
        <v>5</v>
      </c>
      <c r="G279">
        <v>1</v>
      </c>
      <c r="H279">
        <v>2</v>
      </c>
    </row>
    <row r="280" spans="1:8" x14ac:dyDescent="0.15">
      <c r="A280">
        <v>270</v>
      </c>
      <c r="B280" t="s">
        <v>319</v>
      </c>
      <c r="C280" t="s">
        <v>402</v>
      </c>
      <c r="D280" t="str">
        <f t="shared" si="4"/>
        <v>E0270@example.com</v>
      </c>
      <c r="E280" s="2" t="s">
        <v>737</v>
      </c>
      <c r="F280">
        <v>5</v>
      </c>
      <c r="G280">
        <v>1</v>
      </c>
      <c r="H280">
        <v>2</v>
      </c>
    </row>
    <row r="281" spans="1:8" x14ac:dyDescent="0.15">
      <c r="A281">
        <v>271</v>
      </c>
      <c r="B281" t="s">
        <v>320</v>
      </c>
      <c r="C281" t="s">
        <v>403</v>
      </c>
      <c r="D281" t="str">
        <f t="shared" si="4"/>
        <v>E0271@example.com</v>
      </c>
      <c r="E281" s="2" t="s">
        <v>737</v>
      </c>
      <c r="F281">
        <v>5</v>
      </c>
      <c r="G281">
        <v>1</v>
      </c>
      <c r="H281">
        <v>2</v>
      </c>
    </row>
    <row r="282" spans="1:8" x14ac:dyDescent="0.15">
      <c r="A282">
        <v>272</v>
      </c>
      <c r="B282" t="s">
        <v>321</v>
      </c>
      <c r="C282" t="s">
        <v>404</v>
      </c>
      <c r="D282" t="str">
        <f t="shared" si="4"/>
        <v>E0272@example.com</v>
      </c>
      <c r="E282" s="2" t="s">
        <v>737</v>
      </c>
      <c r="F282">
        <v>5</v>
      </c>
      <c r="G282">
        <v>1</v>
      </c>
      <c r="H282">
        <v>2</v>
      </c>
    </row>
    <row r="283" spans="1:8" x14ac:dyDescent="0.15">
      <c r="A283">
        <v>273</v>
      </c>
      <c r="B283" t="s">
        <v>322</v>
      </c>
      <c r="C283" t="s">
        <v>405</v>
      </c>
      <c r="D283" t="str">
        <f t="shared" si="4"/>
        <v>E0273@example.com</v>
      </c>
      <c r="E283" s="2" t="s">
        <v>737</v>
      </c>
      <c r="F283">
        <v>5</v>
      </c>
      <c r="G283">
        <v>1</v>
      </c>
      <c r="H283">
        <v>2</v>
      </c>
    </row>
    <row r="284" spans="1:8" x14ac:dyDescent="0.15">
      <c r="A284">
        <v>274</v>
      </c>
      <c r="B284" t="s">
        <v>323</v>
      </c>
      <c r="C284" t="s">
        <v>406</v>
      </c>
      <c r="D284" t="str">
        <f t="shared" si="4"/>
        <v>E0274@example.com</v>
      </c>
      <c r="E284" s="2" t="s">
        <v>737</v>
      </c>
      <c r="F284">
        <v>5</v>
      </c>
      <c r="G284">
        <v>1</v>
      </c>
      <c r="H284">
        <v>2</v>
      </c>
    </row>
    <row r="285" spans="1:8" x14ac:dyDescent="0.15">
      <c r="A285">
        <v>275</v>
      </c>
      <c r="B285" t="s">
        <v>324</v>
      </c>
      <c r="C285" t="s">
        <v>407</v>
      </c>
      <c r="D285" t="str">
        <f t="shared" si="4"/>
        <v>E0275@example.com</v>
      </c>
      <c r="E285" s="2" t="s">
        <v>737</v>
      </c>
      <c r="F285">
        <v>5</v>
      </c>
      <c r="G285">
        <v>1</v>
      </c>
      <c r="H285">
        <v>2</v>
      </c>
    </row>
    <row r="286" spans="1:8" x14ac:dyDescent="0.15">
      <c r="A286">
        <v>276</v>
      </c>
      <c r="B286" t="s">
        <v>325</v>
      </c>
      <c r="C286" t="s">
        <v>408</v>
      </c>
      <c r="D286" t="str">
        <f t="shared" si="4"/>
        <v>E0276@example.com</v>
      </c>
      <c r="E286" s="2" t="s">
        <v>737</v>
      </c>
      <c r="F286">
        <v>5</v>
      </c>
      <c r="G286">
        <v>1</v>
      </c>
      <c r="H286">
        <v>2</v>
      </c>
    </row>
    <row r="287" spans="1:8" x14ac:dyDescent="0.15">
      <c r="A287">
        <v>277</v>
      </c>
      <c r="B287" t="s">
        <v>326</v>
      </c>
      <c r="C287" t="s">
        <v>409</v>
      </c>
      <c r="D287" t="str">
        <f t="shared" si="4"/>
        <v>E0277@example.com</v>
      </c>
      <c r="E287" s="2" t="s">
        <v>737</v>
      </c>
      <c r="F287">
        <v>5</v>
      </c>
      <c r="G287">
        <v>1</v>
      </c>
      <c r="H287">
        <v>2</v>
      </c>
    </row>
    <row r="288" spans="1:8" x14ac:dyDescent="0.15">
      <c r="A288">
        <v>278</v>
      </c>
      <c r="B288" t="s">
        <v>327</v>
      </c>
      <c r="C288" t="s">
        <v>410</v>
      </c>
      <c r="D288" t="str">
        <f t="shared" si="4"/>
        <v>E0278@example.com</v>
      </c>
      <c r="E288" s="2" t="s">
        <v>737</v>
      </c>
      <c r="F288">
        <v>5</v>
      </c>
      <c r="G288">
        <v>1</v>
      </c>
      <c r="H288">
        <v>2</v>
      </c>
    </row>
    <row r="289" spans="1:8" x14ac:dyDescent="0.15">
      <c r="A289">
        <v>279</v>
      </c>
      <c r="B289" t="s">
        <v>328</v>
      </c>
      <c r="C289" t="s">
        <v>411</v>
      </c>
      <c r="D289" t="str">
        <f t="shared" si="4"/>
        <v>E0279@example.com</v>
      </c>
      <c r="E289" s="2" t="s">
        <v>737</v>
      </c>
      <c r="F289">
        <v>5</v>
      </c>
      <c r="G289">
        <v>1</v>
      </c>
      <c r="H289">
        <v>2</v>
      </c>
    </row>
    <row r="290" spans="1:8" x14ac:dyDescent="0.15">
      <c r="A290">
        <v>280</v>
      </c>
      <c r="B290" t="s">
        <v>329</v>
      </c>
      <c r="C290" t="s">
        <v>412</v>
      </c>
      <c r="D290" t="str">
        <f t="shared" si="4"/>
        <v>E0280@example.com</v>
      </c>
      <c r="E290" s="2" t="s">
        <v>737</v>
      </c>
      <c r="F290">
        <v>5</v>
      </c>
      <c r="G290">
        <v>1</v>
      </c>
      <c r="H290">
        <v>2</v>
      </c>
    </row>
    <row r="291" spans="1:8" x14ac:dyDescent="0.15">
      <c r="A291">
        <v>281</v>
      </c>
      <c r="B291" t="s">
        <v>330</v>
      </c>
      <c r="C291" t="s">
        <v>413</v>
      </c>
      <c r="D291" t="str">
        <f t="shared" si="4"/>
        <v>E0281@example.com</v>
      </c>
      <c r="E291" s="2" t="s">
        <v>737</v>
      </c>
      <c r="F291">
        <v>5</v>
      </c>
      <c r="G291">
        <v>1</v>
      </c>
      <c r="H291">
        <v>2</v>
      </c>
    </row>
    <row r="292" spans="1:8" x14ac:dyDescent="0.15">
      <c r="A292">
        <v>282</v>
      </c>
      <c r="B292" t="s">
        <v>331</v>
      </c>
      <c r="C292" t="s">
        <v>414</v>
      </c>
      <c r="D292" t="str">
        <f t="shared" si="4"/>
        <v>E0282@example.com</v>
      </c>
      <c r="E292" s="2" t="s">
        <v>737</v>
      </c>
      <c r="F292">
        <v>5</v>
      </c>
      <c r="G292">
        <v>1</v>
      </c>
      <c r="H292">
        <v>2</v>
      </c>
    </row>
    <row r="293" spans="1:8" x14ac:dyDescent="0.15">
      <c r="A293">
        <v>283</v>
      </c>
      <c r="B293" t="s">
        <v>332</v>
      </c>
      <c r="C293" t="s">
        <v>415</v>
      </c>
      <c r="D293" t="str">
        <f t="shared" si="4"/>
        <v>E0283@example.com</v>
      </c>
      <c r="E293" s="2" t="s">
        <v>737</v>
      </c>
      <c r="F293">
        <v>5</v>
      </c>
      <c r="G293">
        <v>1</v>
      </c>
      <c r="H293">
        <v>2</v>
      </c>
    </row>
    <row r="294" spans="1:8" x14ac:dyDescent="0.15">
      <c r="A294">
        <v>284</v>
      </c>
      <c r="B294" t="s">
        <v>333</v>
      </c>
      <c r="C294" t="s">
        <v>416</v>
      </c>
      <c r="D294" t="str">
        <f t="shared" si="4"/>
        <v>E0284@example.com</v>
      </c>
      <c r="E294" s="2" t="s">
        <v>737</v>
      </c>
      <c r="F294">
        <v>5</v>
      </c>
      <c r="G294">
        <v>1</v>
      </c>
      <c r="H294">
        <v>2</v>
      </c>
    </row>
    <row r="295" spans="1:8" x14ac:dyDescent="0.15">
      <c r="A295">
        <v>285</v>
      </c>
      <c r="B295" t="s">
        <v>334</v>
      </c>
      <c r="C295" t="s">
        <v>417</v>
      </c>
      <c r="D295" t="str">
        <f t="shared" si="4"/>
        <v>E0285@example.com</v>
      </c>
      <c r="E295" s="2" t="s">
        <v>737</v>
      </c>
      <c r="F295">
        <v>5</v>
      </c>
      <c r="G295">
        <v>1</v>
      </c>
      <c r="H295">
        <v>2</v>
      </c>
    </row>
    <row r="296" spans="1:8" x14ac:dyDescent="0.15">
      <c r="A296">
        <v>286</v>
      </c>
      <c r="B296" t="s">
        <v>335</v>
      </c>
      <c r="C296" t="s">
        <v>418</v>
      </c>
      <c r="D296" t="str">
        <f t="shared" si="4"/>
        <v>E0286@example.com</v>
      </c>
      <c r="E296" s="2" t="s">
        <v>737</v>
      </c>
      <c r="F296">
        <v>5</v>
      </c>
      <c r="G296">
        <v>1</v>
      </c>
      <c r="H296">
        <v>2</v>
      </c>
    </row>
    <row r="297" spans="1:8" x14ac:dyDescent="0.15">
      <c r="A297">
        <v>287</v>
      </c>
      <c r="B297" t="s">
        <v>336</v>
      </c>
      <c r="C297" t="s">
        <v>419</v>
      </c>
      <c r="D297" t="str">
        <f t="shared" si="4"/>
        <v>E0287@example.com</v>
      </c>
      <c r="E297" s="2" t="s">
        <v>737</v>
      </c>
      <c r="F297">
        <v>5</v>
      </c>
      <c r="G297">
        <v>1</v>
      </c>
      <c r="H297">
        <v>2</v>
      </c>
    </row>
    <row r="298" spans="1:8" x14ac:dyDescent="0.15">
      <c r="A298">
        <v>288</v>
      </c>
      <c r="B298" t="s">
        <v>337</v>
      </c>
      <c r="C298" t="s">
        <v>420</v>
      </c>
      <c r="D298" t="str">
        <f t="shared" si="4"/>
        <v>E0288@example.com</v>
      </c>
      <c r="E298" s="2" t="s">
        <v>737</v>
      </c>
      <c r="F298">
        <v>5</v>
      </c>
      <c r="G298">
        <v>1</v>
      </c>
      <c r="H298">
        <v>2</v>
      </c>
    </row>
    <row r="299" spans="1:8" x14ac:dyDescent="0.15">
      <c r="A299">
        <v>289</v>
      </c>
      <c r="B299" t="s">
        <v>338</v>
      </c>
      <c r="C299" t="s">
        <v>421</v>
      </c>
      <c r="D299" t="str">
        <f t="shared" si="4"/>
        <v>E0289@example.com</v>
      </c>
      <c r="E299" s="2" t="s">
        <v>737</v>
      </c>
      <c r="F299">
        <v>5</v>
      </c>
      <c r="G299">
        <v>1</v>
      </c>
      <c r="H299">
        <v>2</v>
      </c>
    </row>
    <row r="300" spans="1:8" x14ac:dyDescent="0.15">
      <c r="A300">
        <v>290</v>
      </c>
      <c r="B300" t="s">
        <v>339</v>
      </c>
      <c r="C300" t="s">
        <v>422</v>
      </c>
      <c r="D300" t="str">
        <f t="shared" si="4"/>
        <v>E0290@example.com</v>
      </c>
      <c r="E300" s="2" t="s">
        <v>737</v>
      </c>
      <c r="F300">
        <v>5</v>
      </c>
      <c r="G300">
        <v>1</v>
      </c>
      <c r="H300">
        <v>2</v>
      </c>
    </row>
    <row r="301" spans="1:8" x14ac:dyDescent="0.15">
      <c r="A301">
        <v>291</v>
      </c>
      <c r="B301" t="s">
        <v>340</v>
      </c>
      <c r="C301" t="s">
        <v>423</v>
      </c>
      <c r="D301" t="str">
        <f t="shared" si="4"/>
        <v>E0291@example.com</v>
      </c>
      <c r="E301" s="2" t="s">
        <v>737</v>
      </c>
      <c r="F301">
        <v>5</v>
      </c>
      <c r="G301">
        <v>1</v>
      </c>
      <c r="H301">
        <v>2</v>
      </c>
    </row>
    <row r="302" spans="1:8" x14ac:dyDescent="0.15">
      <c r="A302">
        <v>292</v>
      </c>
      <c r="B302" t="s">
        <v>341</v>
      </c>
      <c r="C302" t="s">
        <v>424</v>
      </c>
      <c r="D302" t="str">
        <f t="shared" si="4"/>
        <v>E0292@example.com</v>
      </c>
      <c r="E302" s="2" t="s">
        <v>737</v>
      </c>
      <c r="F302">
        <v>5</v>
      </c>
      <c r="G302">
        <v>1</v>
      </c>
      <c r="H302">
        <v>2</v>
      </c>
    </row>
    <row r="303" spans="1:8" x14ac:dyDescent="0.15">
      <c r="A303">
        <v>293</v>
      </c>
      <c r="B303" t="s">
        <v>342</v>
      </c>
      <c r="C303" t="s">
        <v>425</v>
      </c>
      <c r="D303" t="str">
        <f t="shared" si="4"/>
        <v>E0293@example.com</v>
      </c>
      <c r="E303" s="2" t="s">
        <v>737</v>
      </c>
      <c r="F303">
        <v>5</v>
      </c>
      <c r="G303">
        <v>1</v>
      </c>
      <c r="H303">
        <v>2</v>
      </c>
    </row>
    <row r="304" spans="1:8" x14ac:dyDescent="0.15">
      <c r="A304">
        <v>294</v>
      </c>
      <c r="B304" t="s">
        <v>343</v>
      </c>
      <c r="C304" t="s">
        <v>426</v>
      </c>
      <c r="D304" t="str">
        <f t="shared" si="4"/>
        <v>E0294@example.com</v>
      </c>
      <c r="E304" s="2" t="s">
        <v>737</v>
      </c>
      <c r="F304">
        <v>5</v>
      </c>
      <c r="G304">
        <v>1</v>
      </c>
      <c r="H304">
        <v>2</v>
      </c>
    </row>
    <row r="305" spans="1:8" x14ac:dyDescent="0.15">
      <c r="A305">
        <v>295</v>
      </c>
      <c r="B305" t="s">
        <v>344</v>
      </c>
      <c r="C305" t="s">
        <v>427</v>
      </c>
      <c r="D305" t="str">
        <f t="shared" si="4"/>
        <v>E0295@example.com</v>
      </c>
      <c r="E305" s="2" t="s">
        <v>737</v>
      </c>
      <c r="F305">
        <v>5</v>
      </c>
      <c r="G305">
        <v>1</v>
      </c>
      <c r="H305">
        <v>2</v>
      </c>
    </row>
    <row r="306" spans="1:8" x14ac:dyDescent="0.15">
      <c r="A306">
        <v>296</v>
      </c>
      <c r="B306" t="s">
        <v>345</v>
      </c>
      <c r="C306" t="s">
        <v>428</v>
      </c>
      <c r="D306" t="str">
        <f t="shared" si="4"/>
        <v>E0296@example.com</v>
      </c>
      <c r="E306" s="2" t="s">
        <v>737</v>
      </c>
      <c r="F306">
        <v>5</v>
      </c>
      <c r="G306">
        <v>1</v>
      </c>
      <c r="H306">
        <v>2</v>
      </c>
    </row>
    <row r="307" spans="1:8" x14ac:dyDescent="0.15">
      <c r="A307">
        <v>297</v>
      </c>
      <c r="B307" t="s">
        <v>346</v>
      </c>
      <c r="C307" t="s">
        <v>429</v>
      </c>
      <c r="D307" t="str">
        <f t="shared" si="4"/>
        <v>E0297@example.com</v>
      </c>
      <c r="E307" s="2" t="s">
        <v>737</v>
      </c>
      <c r="F307">
        <v>5</v>
      </c>
      <c r="G307">
        <v>1</v>
      </c>
      <c r="H307">
        <v>2</v>
      </c>
    </row>
    <row r="308" spans="1:8" x14ac:dyDescent="0.15">
      <c r="A308">
        <v>298</v>
      </c>
      <c r="B308" t="s">
        <v>347</v>
      </c>
      <c r="C308" t="s">
        <v>430</v>
      </c>
      <c r="D308" t="str">
        <f t="shared" si="4"/>
        <v>E0298@example.com</v>
      </c>
      <c r="E308" s="2" t="s">
        <v>737</v>
      </c>
      <c r="F308">
        <v>5</v>
      </c>
      <c r="G308">
        <v>1</v>
      </c>
      <c r="H308">
        <v>2</v>
      </c>
    </row>
    <row r="309" spans="1:8" x14ac:dyDescent="0.15">
      <c r="A309">
        <v>299</v>
      </c>
      <c r="B309" t="s">
        <v>348</v>
      </c>
      <c r="C309" t="s">
        <v>431</v>
      </c>
      <c r="D309" t="str">
        <f t="shared" si="4"/>
        <v>E0299@example.com</v>
      </c>
      <c r="E309" s="2" t="s">
        <v>737</v>
      </c>
      <c r="F309">
        <v>5</v>
      </c>
      <c r="G309">
        <v>1</v>
      </c>
      <c r="H309">
        <v>2</v>
      </c>
    </row>
    <row r="310" spans="1:8" x14ac:dyDescent="0.15">
      <c r="A310">
        <v>300</v>
      </c>
      <c r="B310" t="s">
        <v>349</v>
      </c>
      <c r="C310" t="s">
        <v>432</v>
      </c>
      <c r="D310" t="str">
        <f t="shared" si="4"/>
        <v>E0300@example.com</v>
      </c>
      <c r="E310" s="2" t="s">
        <v>737</v>
      </c>
      <c r="F310">
        <v>5</v>
      </c>
      <c r="G310">
        <v>1</v>
      </c>
      <c r="H310">
        <v>2</v>
      </c>
    </row>
    <row r="311" spans="1:8" x14ac:dyDescent="0.15">
      <c r="A311">
        <v>301</v>
      </c>
      <c r="B311" t="s">
        <v>350</v>
      </c>
      <c r="C311" t="s">
        <v>433</v>
      </c>
      <c r="D311" t="str">
        <f t="shared" si="4"/>
        <v>E0301@example.com</v>
      </c>
      <c r="E311" s="2" t="s">
        <v>737</v>
      </c>
      <c r="F311">
        <v>5</v>
      </c>
      <c r="G311">
        <v>1</v>
      </c>
      <c r="H311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/>
  </sheetViews>
  <sheetFormatPr defaultRowHeight="13.5" x14ac:dyDescent="0.15"/>
  <cols>
    <col min="2" max="2" width="18.625" bestFit="1" customWidth="1"/>
  </cols>
  <sheetData>
    <row r="1" spans="1:2" x14ac:dyDescent="0.15">
      <c r="A1" t="s">
        <v>17</v>
      </c>
    </row>
    <row r="9" spans="1:2" x14ac:dyDescent="0.15">
      <c r="A9" t="s">
        <v>821</v>
      </c>
      <c r="B9" t="s">
        <v>824</v>
      </c>
    </row>
    <row r="10" spans="1:2" s="1" customFormat="1" ht="21" customHeight="1" x14ac:dyDescent="0.15">
      <c r="A10" s="1" t="s">
        <v>818</v>
      </c>
      <c r="B10" s="1" t="s">
        <v>12</v>
      </c>
    </row>
    <row r="11" spans="1:2" x14ac:dyDescent="0.15">
      <c r="A11">
        <v>1</v>
      </c>
      <c r="B11" t="s">
        <v>18</v>
      </c>
    </row>
    <row r="12" spans="1:2" x14ac:dyDescent="0.15">
      <c r="A12">
        <v>2</v>
      </c>
      <c r="B12" t="s">
        <v>19</v>
      </c>
    </row>
    <row r="13" spans="1:2" x14ac:dyDescent="0.15">
      <c r="A13">
        <v>3</v>
      </c>
      <c r="B13" t="s">
        <v>652</v>
      </c>
    </row>
    <row r="14" spans="1:2" x14ac:dyDescent="0.15">
      <c r="A14">
        <v>4</v>
      </c>
      <c r="B14" t="s">
        <v>716</v>
      </c>
    </row>
    <row r="15" spans="1:2" x14ac:dyDescent="0.15">
      <c r="A15">
        <v>5</v>
      </c>
      <c r="B15" t="s">
        <v>717</v>
      </c>
    </row>
    <row r="16" spans="1:2" x14ac:dyDescent="0.15">
      <c r="A16">
        <v>6</v>
      </c>
      <c r="B16" t="s">
        <v>719</v>
      </c>
    </row>
    <row r="17" spans="1:2" x14ac:dyDescent="0.15">
      <c r="A17">
        <v>7</v>
      </c>
      <c r="B17" t="s">
        <v>721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9"/>
  <sheetViews>
    <sheetView workbookViewId="0">
      <selection activeCell="D4" sqref="D4"/>
    </sheetView>
  </sheetViews>
  <sheetFormatPr defaultRowHeight="13.5" x14ac:dyDescent="0.15"/>
  <cols>
    <col min="2" max="2" width="12.125" bestFit="1" customWidth="1"/>
    <col min="3" max="3" width="18.625" bestFit="1" customWidth="1"/>
    <col min="4" max="4" width="13.5" bestFit="1" customWidth="1"/>
    <col min="5" max="5" width="12.5" bestFit="1" customWidth="1"/>
    <col min="6" max="6" width="11.625" bestFit="1" customWidth="1"/>
    <col min="7" max="7" width="22.375" bestFit="1" customWidth="1"/>
    <col min="8" max="8" width="10.875" bestFit="1" customWidth="1"/>
    <col min="9" max="9" width="10" bestFit="1" customWidth="1"/>
    <col min="10" max="10" width="11" bestFit="1" customWidth="1"/>
    <col min="11" max="11" width="14.375" bestFit="1" customWidth="1"/>
    <col min="12" max="12" width="16.875" bestFit="1" customWidth="1"/>
  </cols>
  <sheetData>
    <row r="1" spans="1:12" x14ac:dyDescent="0.15">
      <c r="A1" t="s">
        <v>27</v>
      </c>
    </row>
    <row r="9" spans="1:12" x14ac:dyDescent="0.15">
      <c r="A9" t="s">
        <v>821</v>
      </c>
      <c r="B9" t="s">
        <v>832</v>
      </c>
      <c r="C9" t="s">
        <v>820</v>
      </c>
      <c r="D9" t="s">
        <v>833</v>
      </c>
      <c r="E9" t="s">
        <v>834</v>
      </c>
      <c r="F9" t="s">
        <v>835</v>
      </c>
      <c r="G9" t="s">
        <v>836</v>
      </c>
      <c r="H9" t="s">
        <v>837</v>
      </c>
      <c r="I9" t="s">
        <v>838</v>
      </c>
      <c r="J9" t="s">
        <v>839</v>
      </c>
      <c r="K9" t="s">
        <v>840</v>
      </c>
      <c r="L9" t="s">
        <v>831</v>
      </c>
    </row>
    <row r="10" spans="1:12" s="1" customFormat="1" ht="21" customHeight="1" x14ac:dyDescent="0.15">
      <c r="A10" s="1" t="s">
        <v>818</v>
      </c>
      <c r="B10" s="1" t="s">
        <v>28</v>
      </c>
      <c r="C10" s="1" t="s">
        <v>29</v>
      </c>
      <c r="D10" s="1" t="s">
        <v>712</v>
      </c>
      <c r="E10" s="1" t="s">
        <v>30</v>
      </c>
      <c r="F10" s="1" t="s">
        <v>31</v>
      </c>
      <c r="G10" s="1" t="s">
        <v>714</v>
      </c>
      <c r="H10" s="1" t="s">
        <v>32</v>
      </c>
      <c r="I10" s="1" t="s">
        <v>16</v>
      </c>
      <c r="J10" s="1" t="s">
        <v>33</v>
      </c>
      <c r="K10" s="1" t="s">
        <v>34</v>
      </c>
      <c r="L10" s="1" t="s">
        <v>26</v>
      </c>
    </row>
    <row r="11" spans="1:12" x14ac:dyDescent="0.15">
      <c r="A11">
        <v>1</v>
      </c>
      <c r="B11" t="s">
        <v>653</v>
      </c>
      <c r="C11" t="s">
        <v>654</v>
      </c>
      <c r="D11" t="s">
        <v>713</v>
      </c>
      <c r="E11" s="4" t="s">
        <v>738</v>
      </c>
      <c r="F11" s="3" t="str">
        <f>GetCurrentMonthEnd(0)</f>
        <v>2015-09-30</v>
      </c>
      <c r="G11" t="s">
        <v>715</v>
      </c>
      <c r="H11">
        <v>4</v>
      </c>
      <c r="I11">
        <v>1</v>
      </c>
      <c r="J11" t="str">
        <f>GetProjectLeaderId(I11)</f>
        <v>1</v>
      </c>
      <c r="K11" t="str">
        <f>GetProjectContactId(I11)</f>
        <v>2</v>
      </c>
      <c r="L11">
        <v>1</v>
      </c>
    </row>
    <row r="12" spans="1:12" x14ac:dyDescent="0.15">
      <c r="A12">
        <v>2</v>
      </c>
      <c r="B12" t="s">
        <v>684</v>
      </c>
      <c r="C12" t="s">
        <v>655</v>
      </c>
      <c r="D12" t="s">
        <v>713</v>
      </c>
      <c r="E12" s="4" t="s">
        <v>739</v>
      </c>
      <c r="F12" s="3" t="str">
        <f>GetCurrentMonthEnd(1)</f>
        <v>2015-10-30</v>
      </c>
      <c r="G12" t="s">
        <v>715</v>
      </c>
      <c r="H12">
        <v>4</v>
      </c>
      <c r="I12">
        <v>1</v>
      </c>
      <c r="J12" t="str">
        <f t="shared" ref="J12:J39" si="0">GetProjectLeaderId(I12)</f>
        <v>1</v>
      </c>
      <c r="K12" t="str">
        <f t="shared" ref="K12:K39" si="1">GetProjectContactId(I12)</f>
        <v>2</v>
      </c>
      <c r="L12">
        <v>1</v>
      </c>
    </row>
    <row r="13" spans="1:12" x14ac:dyDescent="0.15">
      <c r="A13">
        <v>3</v>
      </c>
      <c r="B13" t="s">
        <v>685</v>
      </c>
      <c r="C13" t="s">
        <v>656</v>
      </c>
      <c r="D13" t="s">
        <v>713</v>
      </c>
      <c r="E13" s="4" t="s">
        <v>739</v>
      </c>
      <c r="F13" s="3" t="str">
        <f>GetCurrentMonthEnd(2)</f>
        <v>2015-11-30</v>
      </c>
      <c r="G13" t="s">
        <v>715</v>
      </c>
      <c r="H13">
        <v>4</v>
      </c>
      <c r="I13">
        <v>1</v>
      </c>
      <c r="J13" t="str">
        <f t="shared" si="0"/>
        <v>1</v>
      </c>
      <c r="K13" t="str">
        <f t="shared" si="1"/>
        <v>2</v>
      </c>
      <c r="L13">
        <v>1</v>
      </c>
    </row>
    <row r="14" spans="1:12" x14ac:dyDescent="0.15">
      <c r="A14">
        <v>4</v>
      </c>
      <c r="B14" t="s">
        <v>686</v>
      </c>
      <c r="C14" t="s">
        <v>657</v>
      </c>
      <c r="D14" t="s">
        <v>713</v>
      </c>
      <c r="E14" s="4" t="s">
        <v>740</v>
      </c>
      <c r="F14" s="3" t="str">
        <f>GetCurrentMonthEnd(12)</f>
        <v>2016-09-30</v>
      </c>
      <c r="G14" t="s">
        <v>715</v>
      </c>
      <c r="H14">
        <v>4</v>
      </c>
      <c r="I14">
        <v>4</v>
      </c>
      <c r="J14" t="str">
        <f t="shared" si="0"/>
        <v>7</v>
      </c>
      <c r="K14" t="str">
        <f t="shared" si="1"/>
        <v>8</v>
      </c>
      <c r="L14">
        <v>3</v>
      </c>
    </row>
    <row r="15" spans="1:12" x14ac:dyDescent="0.15">
      <c r="A15">
        <v>5</v>
      </c>
      <c r="B15" t="s">
        <v>687</v>
      </c>
      <c r="C15" t="s">
        <v>659</v>
      </c>
      <c r="D15" t="s">
        <v>713</v>
      </c>
      <c r="E15" t="str">
        <f>GetCurrentMonthEnd(J15)</f>
        <v>2015-12-30</v>
      </c>
      <c r="F15" t="str">
        <f>GetCurrentMonthEnd(K15)</f>
        <v>2016-01-30</v>
      </c>
      <c r="G15" t="s">
        <v>715</v>
      </c>
      <c r="H15">
        <v>1</v>
      </c>
      <c r="I15">
        <v>2</v>
      </c>
      <c r="J15" t="str">
        <f t="shared" si="0"/>
        <v>3</v>
      </c>
      <c r="K15" t="str">
        <f t="shared" si="1"/>
        <v>4</v>
      </c>
      <c r="L15">
        <v>3</v>
      </c>
    </row>
    <row r="16" spans="1:12" x14ac:dyDescent="0.15">
      <c r="A16">
        <v>6</v>
      </c>
      <c r="B16" t="s">
        <v>688</v>
      </c>
      <c r="C16" t="s">
        <v>660</v>
      </c>
      <c r="D16" t="s">
        <v>713</v>
      </c>
      <c r="E16" t="str">
        <f t="shared" ref="E16:E29" si="2">GetCurrentMonthEnd(J16)</f>
        <v>2015-12-30</v>
      </c>
      <c r="F16" t="str">
        <f t="shared" ref="F16:F29" si="3">GetCurrentMonthEnd(K16)</f>
        <v>2016-01-30</v>
      </c>
      <c r="G16" t="s">
        <v>715</v>
      </c>
      <c r="H16">
        <v>1</v>
      </c>
      <c r="I16">
        <v>2</v>
      </c>
      <c r="J16" t="str">
        <f t="shared" si="0"/>
        <v>3</v>
      </c>
      <c r="K16" t="str">
        <f t="shared" si="1"/>
        <v>4</v>
      </c>
      <c r="L16">
        <v>3</v>
      </c>
    </row>
    <row r="17" spans="1:12" x14ac:dyDescent="0.15">
      <c r="A17">
        <v>7</v>
      </c>
      <c r="B17" t="s">
        <v>689</v>
      </c>
      <c r="C17" t="s">
        <v>661</v>
      </c>
      <c r="D17" t="s">
        <v>713</v>
      </c>
      <c r="E17" t="str">
        <f t="shared" si="2"/>
        <v>2015-12-30</v>
      </c>
      <c r="F17" t="str">
        <f t="shared" si="3"/>
        <v>2016-01-30</v>
      </c>
      <c r="G17" t="s">
        <v>715</v>
      </c>
      <c r="H17">
        <v>1</v>
      </c>
      <c r="I17">
        <v>2</v>
      </c>
      <c r="J17" t="str">
        <f t="shared" si="0"/>
        <v>3</v>
      </c>
      <c r="K17" t="str">
        <f t="shared" si="1"/>
        <v>4</v>
      </c>
      <c r="L17">
        <v>3</v>
      </c>
    </row>
    <row r="18" spans="1:12" x14ac:dyDescent="0.15">
      <c r="A18">
        <v>8</v>
      </c>
      <c r="B18" t="s">
        <v>690</v>
      </c>
      <c r="C18" t="s">
        <v>662</v>
      </c>
      <c r="D18" t="s">
        <v>713</v>
      </c>
      <c r="E18" t="str">
        <f t="shared" si="2"/>
        <v>2015-12-30</v>
      </c>
      <c r="F18" t="str">
        <f t="shared" si="3"/>
        <v>2016-01-30</v>
      </c>
      <c r="G18" t="s">
        <v>715</v>
      </c>
      <c r="H18">
        <v>1</v>
      </c>
      <c r="I18">
        <v>2</v>
      </c>
      <c r="J18" t="str">
        <f t="shared" si="0"/>
        <v>3</v>
      </c>
      <c r="K18" t="str">
        <f t="shared" si="1"/>
        <v>4</v>
      </c>
      <c r="L18">
        <v>3</v>
      </c>
    </row>
    <row r="19" spans="1:12" x14ac:dyDescent="0.15">
      <c r="A19">
        <v>9</v>
      </c>
      <c r="B19" t="s">
        <v>691</v>
      </c>
      <c r="C19" t="s">
        <v>663</v>
      </c>
      <c r="D19" t="s">
        <v>713</v>
      </c>
      <c r="E19" t="str">
        <f t="shared" si="2"/>
        <v>2016-04-30</v>
      </c>
      <c r="F19" t="str">
        <f t="shared" si="3"/>
        <v>2016-05-30</v>
      </c>
      <c r="G19" t="s">
        <v>715</v>
      </c>
      <c r="H19">
        <v>1</v>
      </c>
      <c r="I19">
        <v>4</v>
      </c>
      <c r="J19" t="str">
        <f t="shared" si="0"/>
        <v>7</v>
      </c>
      <c r="K19" t="str">
        <f t="shared" si="1"/>
        <v>8</v>
      </c>
      <c r="L19">
        <v>3</v>
      </c>
    </row>
    <row r="20" spans="1:12" x14ac:dyDescent="0.15">
      <c r="A20">
        <v>10</v>
      </c>
      <c r="B20" t="s">
        <v>692</v>
      </c>
      <c r="C20" t="s">
        <v>664</v>
      </c>
      <c r="D20" t="s">
        <v>713</v>
      </c>
      <c r="E20" t="str">
        <f t="shared" si="2"/>
        <v>2016-06-30</v>
      </c>
      <c r="F20" t="str">
        <f t="shared" si="3"/>
        <v>2016-07-30</v>
      </c>
      <c r="G20" t="s">
        <v>715</v>
      </c>
      <c r="H20">
        <v>2</v>
      </c>
      <c r="I20">
        <v>5</v>
      </c>
      <c r="J20" t="str">
        <f t="shared" si="0"/>
        <v>9</v>
      </c>
      <c r="K20" t="str">
        <f t="shared" si="1"/>
        <v>10</v>
      </c>
      <c r="L20">
        <v>2</v>
      </c>
    </row>
    <row r="21" spans="1:12" x14ac:dyDescent="0.15">
      <c r="A21">
        <v>11</v>
      </c>
      <c r="B21" t="s">
        <v>693</v>
      </c>
      <c r="C21" t="s">
        <v>665</v>
      </c>
      <c r="D21" t="s">
        <v>713</v>
      </c>
      <c r="E21" t="str">
        <f t="shared" si="2"/>
        <v>2016-06-30</v>
      </c>
      <c r="F21" t="str">
        <f t="shared" si="3"/>
        <v>2016-07-30</v>
      </c>
      <c r="G21" t="s">
        <v>715</v>
      </c>
      <c r="H21">
        <v>2</v>
      </c>
      <c r="I21">
        <v>5</v>
      </c>
      <c r="J21" t="str">
        <f t="shared" si="0"/>
        <v>9</v>
      </c>
      <c r="K21" t="str">
        <f t="shared" si="1"/>
        <v>10</v>
      </c>
      <c r="L21">
        <v>2</v>
      </c>
    </row>
    <row r="22" spans="1:12" x14ac:dyDescent="0.15">
      <c r="A22">
        <v>12</v>
      </c>
      <c r="B22" t="s">
        <v>694</v>
      </c>
      <c r="C22" t="s">
        <v>666</v>
      </c>
      <c r="D22" t="s">
        <v>713</v>
      </c>
      <c r="E22" t="str">
        <f t="shared" si="2"/>
        <v>2016-06-30</v>
      </c>
      <c r="F22" t="str">
        <f t="shared" si="3"/>
        <v>2016-07-30</v>
      </c>
      <c r="G22" t="s">
        <v>715</v>
      </c>
      <c r="H22">
        <v>2</v>
      </c>
      <c r="I22">
        <v>5</v>
      </c>
      <c r="J22" t="str">
        <f t="shared" si="0"/>
        <v>9</v>
      </c>
      <c r="K22" t="str">
        <f t="shared" si="1"/>
        <v>10</v>
      </c>
      <c r="L22">
        <v>2</v>
      </c>
    </row>
    <row r="23" spans="1:12" x14ac:dyDescent="0.15">
      <c r="A23">
        <v>13</v>
      </c>
      <c r="B23" t="s">
        <v>695</v>
      </c>
      <c r="C23" t="s">
        <v>667</v>
      </c>
      <c r="D23" t="s">
        <v>713</v>
      </c>
      <c r="E23" t="str">
        <f t="shared" si="2"/>
        <v>2016-06-30</v>
      </c>
      <c r="F23" t="str">
        <f t="shared" si="3"/>
        <v>2016-07-30</v>
      </c>
      <c r="G23" t="s">
        <v>715</v>
      </c>
      <c r="H23">
        <v>2</v>
      </c>
      <c r="I23">
        <v>5</v>
      </c>
      <c r="J23" t="str">
        <f t="shared" si="0"/>
        <v>9</v>
      </c>
      <c r="K23" t="str">
        <f t="shared" si="1"/>
        <v>10</v>
      </c>
      <c r="L23">
        <v>2</v>
      </c>
    </row>
    <row r="24" spans="1:12" x14ac:dyDescent="0.15">
      <c r="A24">
        <v>14</v>
      </c>
      <c r="B24" t="s">
        <v>696</v>
      </c>
      <c r="C24" t="s">
        <v>668</v>
      </c>
      <c r="D24" t="s">
        <v>713</v>
      </c>
      <c r="E24" t="str">
        <f t="shared" si="2"/>
        <v>2016-06-30</v>
      </c>
      <c r="F24" t="str">
        <f t="shared" si="3"/>
        <v>2016-07-30</v>
      </c>
      <c r="G24" t="s">
        <v>715</v>
      </c>
      <c r="H24">
        <v>2</v>
      </c>
      <c r="I24">
        <v>5</v>
      </c>
      <c r="J24" t="str">
        <f t="shared" si="0"/>
        <v>9</v>
      </c>
      <c r="K24" t="str">
        <f t="shared" si="1"/>
        <v>10</v>
      </c>
      <c r="L24">
        <v>2</v>
      </c>
    </row>
    <row r="25" spans="1:12" x14ac:dyDescent="0.15">
      <c r="A25">
        <v>15</v>
      </c>
      <c r="B25" t="s">
        <v>697</v>
      </c>
      <c r="C25" t="s">
        <v>669</v>
      </c>
      <c r="D25" t="s">
        <v>713</v>
      </c>
      <c r="E25" t="str">
        <f t="shared" si="2"/>
        <v>2016-04-30</v>
      </c>
      <c r="F25" t="str">
        <f t="shared" si="3"/>
        <v>2016-05-30</v>
      </c>
      <c r="G25" t="s">
        <v>715</v>
      </c>
      <c r="H25">
        <v>2</v>
      </c>
      <c r="I25">
        <v>4</v>
      </c>
      <c r="J25" t="str">
        <f t="shared" si="0"/>
        <v>7</v>
      </c>
      <c r="K25" t="str">
        <f t="shared" si="1"/>
        <v>8</v>
      </c>
      <c r="L25">
        <v>2</v>
      </c>
    </row>
    <row r="26" spans="1:12" x14ac:dyDescent="0.15">
      <c r="A26">
        <v>16</v>
      </c>
      <c r="B26" t="s">
        <v>698</v>
      </c>
      <c r="C26" t="s">
        <v>670</v>
      </c>
      <c r="D26" t="s">
        <v>713</v>
      </c>
      <c r="E26" t="str">
        <f t="shared" si="2"/>
        <v>2016-08-30</v>
      </c>
      <c r="F26" t="str">
        <f t="shared" si="3"/>
        <v>2016-09-30</v>
      </c>
      <c r="G26" t="s">
        <v>715</v>
      </c>
      <c r="H26">
        <v>3</v>
      </c>
      <c r="I26">
        <v>6</v>
      </c>
      <c r="J26" t="str">
        <f t="shared" si="0"/>
        <v>11</v>
      </c>
      <c r="K26" t="str">
        <f t="shared" si="1"/>
        <v>12</v>
      </c>
      <c r="L26">
        <v>3</v>
      </c>
    </row>
    <row r="27" spans="1:12" x14ac:dyDescent="0.15">
      <c r="A27">
        <v>17</v>
      </c>
      <c r="B27" t="s">
        <v>699</v>
      </c>
      <c r="C27" t="s">
        <v>671</v>
      </c>
      <c r="D27" t="s">
        <v>713</v>
      </c>
      <c r="E27" t="str">
        <f t="shared" si="2"/>
        <v>2016-08-30</v>
      </c>
      <c r="F27" t="str">
        <f t="shared" si="3"/>
        <v>2016-09-30</v>
      </c>
      <c r="G27" t="s">
        <v>715</v>
      </c>
      <c r="H27">
        <v>3</v>
      </c>
      <c r="I27">
        <v>6</v>
      </c>
      <c r="J27" t="str">
        <f t="shared" si="0"/>
        <v>11</v>
      </c>
      <c r="K27" t="str">
        <f t="shared" si="1"/>
        <v>12</v>
      </c>
      <c r="L27">
        <v>3</v>
      </c>
    </row>
    <row r="28" spans="1:12" x14ac:dyDescent="0.15">
      <c r="A28">
        <v>18</v>
      </c>
      <c r="B28" t="s">
        <v>700</v>
      </c>
      <c r="C28" t="s">
        <v>672</v>
      </c>
      <c r="D28" t="s">
        <v>713</v>
      </c>
      <c r="E28" t="str">
        <f t="shared" si="2"/>
        <v>2016-08-30</v>
      </c>
      <c r="F28" t="str">
        <f t="shared" si="3"/>
        <v>2016-09-30</v>
      </c>
      <c r="G28" t="s">
        <v>715</v>
      </c>
      <c r="H28">
        <v>3</v>
      </c>
      <c r="I28">
        <v>6</v>
      </c>
      <c r="J28" t="str">
        <f t="shared" si="0"/>
        <v>11</v>
      </c>
      <c r="K28" t="str">
        <f t="shared" si="1"/>
        <v>12</v>
      </c>
      <c r="L28">
        <v>3</v>
      </c>
    </row>
    <row r="29" spans="1:12" x14ac:dyDescent="0.15">
      <c r="A29">
        <v>19</v>
      </c>
      <c r="B29" t="s">
        <v>701</v>
      </c>
      <c r="C29" t="s">
        <v>673</v>
      </c>
      <c r="D29" t="s">
        <v>713</v>
      </c>
      <c r="E29" t="str">
        <f t="shared" si="2"/>
        <v>2016-04-30</v>
      </c>
      <c r="F29" t="str">
        <f t="shared" si="3"/>
        <v>2016-05-30</v>
      </c>
      <c r="G29" t="s">
        <v>715</v>
      </c>
      <c r="H29">
        <v>3</v>
      </c>
      <c r="I29">
        <v>4</v>
      </c>
      <c r="J29" t="str">
        <f t="shared" si="0"/>
        <v>7</v>
      </c>
      <c r="K29" t="str">
        <f t="shared" si="1"/>
        <v>8</v>
      </c>
      <c r="L29">
        <v>3</v>
      </c>
    </row>
    <row r="30" spans="1:12" x14ac:dyDescent="0.15">
      <c r="A30">
        <v>20</v>
      </c>
      <c r="B30" t="s">
        <v>702</v>
      </c>
      <c r="C30" t="s">
        <v>674</v>
      </c>
      <c r="D30" t="s">
        <v>713</v>
      </c>
      <c r="E30" t="str">
        <f>GetCurrentMonthEnd(0-J30)</f>
        <v>2014-08-30</v>
      </c>
      <c r="F30" t="str">
        <f>GetCurrentMonthEnd(-1)</f>
        <v>2015-08-30</v>
      </c>
      <c r="G30" t="s">
        <v>715</v>
      </c>
      <c r="H30">
        <v>5</v>
      </c>
      <c r="I30">
        <v>7</v>
      </c>
      <c r="J30" t="str">
        <f t="shared" si="0"/>
        <v>13</v>
      </c>
      <c r="K30" t="str">
        <f t="shared" si="1"/>
        <v>14</v>
      </c>
      <c r="L30">
        <v>2</v>
      </c>
    </row>
    <row r="31" spans="1:12" x14ac:dyDescent="0.15">
      <c r="A31">
        <v>21</v>
      </c>
      <c r="B31" t="s">
        <v>703</v>
      </c>
      <c r="C31" t="s">
        <v>675</v>
      </c>
      <c r="D31" t="s">
        <v>713</v>
      </c>
      <c r="E31" t="str">
        <f t="shared" ref="E31:E38" si="4">GetCurrentMonthEnd(0-J31)</f>
        <v>2014-08-30</v>
      </c>
      <c r="F31" t="str">
        <f t="shared" ref="F31:F38" si="5">GetCurrentMonthEnd(-2)</f>
        <v>2015-07-30</v>
      </c>
      <c r="G31" t="s">
        <v>715</v>
      </c>
      <c r="H31">
        <v>5</v>
      </c>
      <c r="I31">
        <v>7</v>
      </c>
      <c r="J31" t="str">
        <f t="shared" si="0"/>
        <v>13</v>
      </c>
      <c r="K31" t="str">
        <f t="shared" si="1"/>
        <v>14</v>
      </c>
      <c r="L31">
        <v>2</v>
      </c>
    </row>
    <row r="32" spans="1:12" x14ac:dyDescent="0.15">
      <c r="A32">
        <v>22</v>
      </c>
      <c r="B32" t="s">
        <v>704</v>
      </c>
      <c r="C32" t="s">
        <v>676</v>
      </c>
      <c r="D32" t="s">
        <v>713</v>
      </c>
      <c r="E32" t="str">
        <f t="shared" si="4"/>
        <v>2014-08-30</v>
      </c>
      <c r="F32" t="str">
        <f t="shared" si="5"/>
        <v>2015-07-30</v>
      </c>
      <c r="G32" t="s">
        <v>715</v>
      </c>
      <c r="H32">
        <v>5</v>
      </c>
      <c r="I32">
        <v>7</v>
      </c>
      <c r="J32" t="str">
        <f t="shared" si="0"/>
        <v>13</v>
      </c>
      <c r="K32" t="str">
        <f t="shared" si="1"/>
        <v>14</v>
      </c>
      <c r="L32">
        <v>2</v>
      </c>
    </row>
    <row r="33" spans="1:12" x14ac:dyDescent="0.15">
      <c r="A33">
        <v>23</v>
      </c>
      <c r="B33" t="s">
        <v>705</v>
      </c>
      <c r="C33" t="s">
        <v>677</v>
      </c>
      <c r="D33" t="s">
        <v>713</v>
      </c>
      <c r="E33" t="str">
        <f t="shared" si="4"/>
        <v>2014-08-30</v>
      </c>
      <c r="F33" t="str">
        <f t="shared" si="5"/>
        <v>2015-07-30</v>
      </c>
      <c r="G33" t="s">
        <v>715</v>
      </c>
      <c r="H33">
        <v>5</v>
      </c>
      <c r="I33">
        <v>7</v>
      </c>
      <c r="J33" t="str">
        <f t="shared" si="0"/>
        <v>13</v>
      </c>
      <c r="K33" t="str">
        <f t="shared" si="1"/>
        <v>14</v>
      </c>
      <c r="L33">
        <v>2</v>
      </c>
    </row>
    <row r="34" spans="1:12" x14ac:dyDescent="0.15">
      <c r="A34">
        <v>24</v>
      </c>
      <c r="B34" t="s">
        <v>706</v>
      </c>
      <c r="C34" t="s">
        <v>678</v>
      </c>
      <c r="D34" t="s">
        <v>713</v>
      </c>
      <c r="E34" t="str">
        <f t="shared" si="4"/>
        <v>2014-08-30</v>
      </c>
      <c r="F34" t="str">
        <f t="shared" si="5"/>
        <v>2015-07-30</v>
      </c>
      <c r="G34" t="s">
        <v>715</v>
      </c>
      <c r="H34">
        <v>5</v>
      </c>
      <c r="I34">
        <v>7</v>
      </c>
      <c r="J34" t="str">
        <f t="shared" si="0"/>
        <v>13</v>
      </c>
      <c r="K34" t="str">
        <f t="shared" si="1"/>
        <v>14</v>
      </c>
      <c r="L34">
        <v>2</v>
      </c>
    </row>
    <row r="35" spans="1:12" x14ac:dyDescent="0.15">
      <c r="A35">
        <v>25</v>
      </c>
      <c r="B35" t="s">
        <v>707</v>
      </c>
      <c r="C35" t="s">
        <v>679</v>
      </c>
      <c r="D35" t="s">
        <v>713</v>
      </c>
      <c r="E35" t="str">
        <f t="shared" si="4"/>
        <v>2014-08-30</v>
      </c>
      <c r="F35" t="str">
        <f t="shared" si="5"/>
        <v>2015-07-30</v>
      </c>
      <c r="G35" t="s">
        <v>715</v>
      </c>
      <c r="H35">
        <v>5</v>
      </c>
      <c r="I35">
        <v>7</v>
      </c>
      <c r="J35" t="str">
        <f t="shared" si="0"/>
        <v>13</v>
      </c>
      <c r="K35" t="str">
        <f t="shared" si="1"/>
        <v>14</v>
      </c>
      <c r="L35">
        <v>2</v>
      </c>
    </row>
    <row r="36" spans="1:12" x14ac:dyDescent="0.15">
      <c r="A36">
        <v>26</v>
      </c>
      <c r="B36" t="s">
        <v>708</v>
      </c>
      <c r="C36" t="s">
        <v>680</v>
      </c>
      <c r="D36" t="s">
        <v>713</v>
      </c>
      <c r="E36" t="str">
        <f t="shared" si="4"/>
        <v>2014-08-30</v>
      </c>
      <c r="F36" t="str">
        <f t="shared" si="5"/>
        <v>2015-07-30</v>
      </c>
      <c r="G36" t="s">
        <v>715</v>
      </c>
      <c r="H36">
        <v>5</v>
      </c>
      <c r="I36">
        <v>7</v>
      </c>
      <c r="J36" t="str">
        <f t="shared" si="0"/>
        <v>13</v>
      </c>
      <c r="K36" t="str">
        <f t="shared" si="1"/>
        <v>14</v>
      </c>
      <c r="L36">
        <v>2</v>
      </c>
    </row>
    <row r="37" spans="1:12" x14ac:dyDescent="0.15">
      <c r="A37">
        <v>27</v>
      </c>
      <c r="B37" t="s">
        <v>709</v>
      </c>
      <c r="C37" t="s">
        <v>681</v>
      </c>
      <c r="D37" t="s">
        <v>713</v>
      </c>
      <c r="E37" t="str">
        <f t="shared" si="4"/>
        <v>2014-08-30</v>
      </c>
      <c r="F37" t="str">
        <f t="shared" si="5"/>
        <v>2015-07-30</v>
      </c>
      <c r="G37" t="s">
        <v>715</v>
      </c>
      <c r="H37">
        <v>5</v>
      </c>
      <c r="I37">
        <v>7</v>
      </c>
      <c r="J37" t="str">
        <f t="shared" si="0"/>
        <v>13</v>
      </c>
      <c r="K37" t="str">
        <f t="shared" si="1"/>
        <v>14</v>
      </c>
      <c r="L37">
        <v>2</v>
      </c>
    </row>
    <row r="38" spans="1:12" x14ac:dyDescent="0.15">
      <c r="A38">
        <v>28</v>
      </c>
      <c r="B38" t="s">
        <v>710</v>
      </c>
      <c r="C38" t="s">
        <v>682</v>
      </c>
      <c r="D38" t="s">
        <v>713</v>
      </c>
      <c r="E38" t="str">
        <f t="shared" si="4"/>
        <v>2014-08-30</v>
      </c>
      <c r="F38" t="str">
        <f t="shared" si="5"/>
        <v>2015-07-30</v>
      </c>
      <c r="G38" t="s">
        <v>715</v>
      </c>
      <c r="H38">
        <v>5</v>
      </c>
      <c r="I38">
        <v>7</v>
      </c>
      <c r="J38" t="str">
        <f t="shared" si="0"/>
        <v>13</v>
      </c>
      <c r="K38" t="str">
        <f t="shared" si="1"/>
        <v>14</v>
      </c>
      <c r="L38">
        <v>2</v>
      </c>
    </row>
    <row r="39" spans="1:12" x14ac:dyDescent="0.15">
      <c r="A39">
        <v>29</v>
      </c>
      <c r="B39" t="s">
        <v>711</v>
      </c>
      <c r="C39" t="s">
        <v>683</v>
      </c>
      <c r="D39" t="s">
        <v>713</v>
      </c>
      <c r="E39" t="str">
        <f>GetCurrentMonthEnd(-4)</f>
        <v>2015-05-30</v>
      </c>
      <c r="F39" t="str">
        <f>GetCurrentMonthEnd(-3)</f>
        <v>2015-06-30</v>
      </c>
      <c r="G39" t="s">
        <v>715</v>
      </c>
      <c r="H39">
        <v>5</v>
      </c>
      <c r="I39">
        <v>4</v>
      </c>
      <c r="J39" t="str">
        <f t="shared" si="0"/>
        <v>7</v>
      </c>
      <c r="K39" t="str">
        <f t="shared" si="1"/>
        <v>8</v>
      </c>
      <c r="L39">
        <v>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75"/>
  <sheetViews>
    <sheetView workbookViewId="0"/>
  </sheetViews>
  <sheetFormatPr defaultRowHeight="13.5" x14ac:dyDescent="0.15"/>
  <cols>
    <col min="2" max="2" width="12.125" bestFit="1" customWidth="1"/>
    <col min="3" max="3" width="11.125" bestFit="1" customWidth="1"/>
    <col min="4" max="4" width="12.5" bestFit="1" customWidth="1"/>
    <col min="5" max="5" width="11.625" bestFit="1" customWidth="1"/>
    <col min="6" max="6" width="7.5" bestFit="1" customWidth="1"/>
    <col min="7" max="7" width="9.75" bestFit="1" customWidth="1"/>
  </cols>
  <sheetData>
    <row r="1" spans="1:7" x14ac:dyDescent="0.15">
      <c r="A1" t="s">
        <v>35</v>
      </c>
    </row>
    <row r="9" spans="1:7" x14ac:dyDescent="0.15">
      <c r="A9" t="s">
        <v>819</v>
      </c>
      <c r="B9" t="s">
        <v>832</v>
      </c>
      <c r="C9" t="s">
        <v>841</v>
      </c>
      <c r="D9" t="s">
        <v>834</v>
      </c>
      <c r="E9" t="s">
        <v>835</v>
      </c>
      <c r="F9" t="s">
        <v>842</v>
      </c>
      <c r="G9" t="s">
        <v>843</v>
      </c>
    </row>
    <row r="10" spans="1:7" s="1" customFormat="1" ht="21" customHeight="1" x14ac:dyDescent="0.15">
      <c r="A10" s="1" t="s">
        <v>818</v>
      </c>
      <c r="B10" s="1" t="s">
        <v>741</v>
      </c>
      <c r="C10" s="1" t="s">
        <v>742</v>
      </c>
      <c r="D10" s="1" t="s">
        <v>30</v>
      </c>
      <c r="E10" s="1" t="s">
        <v>31</v>
      </c>
      <c r="F10" s="1" t="s">
        <v>36</v>
      </c>
      <c r="G10" s="1" t="s">
        <v>32</v>
      </c>
    </row>
    <row r="11" spans="1:7" x14ac:dyDescent="0.15">
      <c r="A11">
        <f>ROW()-10</f>
        <v>1</v>
      </c>
      <c r="B11">
        <v>1</v>
      </c>
      <c r="C11">
        <v>1</v>
      </c>
      <c r="D11" s="4" t="s">
        <v>743</v>
      </c>
      <c r="E11" t="str">
        <f>案件!$F$11</f>
        <v>2015-09-30</v>
      </c>
      <c r="F11">
        <v>300000</v>
      </c>
      <c r="G11">
        <v>2</v>
      </c>
    </row>
    <row r="12" spans="1:7" x14ac:dyDescent="0.15">
      <c r="A12">
        <f t="shared" ref="A12:A75" si="0">ROW()-10</f>
        <v>2</v>
      </c>
      <c r="B12">
        <v>1</v>
      </c>
      <c r="C12">
        <v>2</v>
      </c>
      <c r="D12" s="4" t="s">
        <v>744</v>
      </c>
      <c r="E12" t="str">
        <f>案件!$F$11</f>
        <v>2015-09-30</v>
      </c>
      <c r="F12">
        <f>$F$11+1000*ROW()</f>
        <v>312000</v>
      </c>
      <c r="G12">
        <v>2</v>
      </c>
    </row>
    <row r="13" spans="1:7" x14ac:dyDescent="0.15">
      <c r="A13">
        <f t="shared" si="0"/>
        <v>3</v>
      </c>
      <c r="B13">
        <v>1</v>
      </c>
      <c r="C13">
        <v>3</v>
      </c>
      <c r="D13" s="4" t="s">
        <v>745</v>
      </c>
      <c r="E13" t="str">
        <f>案件!$F$11</f>
        <v>2015-09-30</v>
      </c>
      <c r="F13">
        <f t="shared" ref="F13:F76" si="1">$F$11+1000*ROW()</f>
        <v>313000</v>
      </c>
      <c r="G13">
        <v>2</v>
      </c>
    </row>
    <row r="14" spans="1:7" x14ac:dyDescent="0.15">
      <c r="A14">
        <f t="shared" si="0"/>
        <v>4</v>
      </c>
      <c r="B14">
        <v>1</v>
      </c>
      <c r="C14">
        <v>4</v>
      </c>
      <c r="D14" s="4" t="s">
        <v>746</v>
      </c>
      <c r="E14" t="str">
        <f>案件!$F$11</f>
        <v>2015-09-30</v>
      </c>
      <c r="F14">
        <f t="shared" si="1"/>
        <v>314000</v>
      </c>
      <c r="G14">
        <v>2</v>
      </c>
    </row>
    <row r="15" spans="1:7" x14ac:dyDescent="0.15">
      <c r="A15">
        <f t="shared" si="0"/>
        <v>5</v>
      </c>
      <c r="B15">
        <v>1</v>
      </c>
      <c r="C15">
        <v>5</v>
      </c>
      <c r="D15" s="4" t="s">
        <v>747</v>
      </c>
      <c r="E15" t="str">
        <f>案件!$F$11</f>
        <v>2015-09-30</v>
      </c>
      <c r="F15">
        <f t="shared" si="1"/>
        <v>315000</v>
      </c>
      <c r="G15">
        <v>2</v>
      </c>
    </row>
    <row r="16" spans="1:7" x14ac:dyDescent="0.15">
      <c r="A16">
        <f t="shared" si="0"/>
        <v>6</v>
      </c>
      <c r="B16">
        <v>1</v>
      </c>
      <c r="C16">
        <v>6</v>
      </c>
      <c r="D16" s="4" t="s">
        <v>748</v>
      </c>
      <c r="E16" t="str">
        <f>案件!$F$11</f>
        <v>2015-09-30</v>
      </c>
      <c r="F16">
        <f t="shared" si="1"/>
        <v>316000</v>
      </c>
      <c r="G16">
        <v>2</v>
      </c>
    </row>
    <row r="17" spans="1:7" x14ac:dyDescent="0.15">
      <c r="A17">
        <f t="shared" si="0"/>
        <v>7</v>
      </c>
      <c r="B17">
        <v>1</v>
      </c>
      <c r="C17">
        <v>7</v>
      </c>
      <c r="D17" s="4" t="s">
        <v>749</v>
      </c>
      <c r="E17" t="str">
        <f>案件!$F$11</f>
        <v>2015-09-30</v>
      </c>
      <c r="F17">
        <f t="shared" si="1"/>
        <v>317000</v>
      </c>
      <c r="G17">
        <v>2</v>
      </c>
    </row>
    <row r="18" spans="1:7" x14ac:dyDescent="0.15">
      <c r="A18">
        <f t="shared" si="0"/>
        <v>8</v>
      </c>
      <c r="B18">
        <v>1</v>
      </c>
      <c r="C18">
        <v>8</v>
      </c>
      <c r="D18" s="4" t="s">
        <v>750</v>
      </c>
      <c r="E18" t="str">
        <f>案件!$F$11</f>
        <v>2015-09-30</v>
      </c>
      <c r="F18">
        <f t="shared" si="1"/>
        <v>318000</v>
      </c>
      <c r="G18">
        <v>2</v>
      </c>
    </row>
    <row r="19" spans="1:7" x14ac:dyDescent="0.15">
      <c r="A19">
        <f t="shared" si="0"/>
        <v>9</v>
      </c>
      <c r="B19">
        <v>1</v>
      </c>
      <c r="C19">
        <v>9</v>
      </c>
      <c r="D19" s="4" t="s">
        <v>751</v>
      </c>
      <c r="E19" t="str">
        <f>案件!$F$11</f>
        <v>2015-09-30</v>
      </c>
      <c r="F19">
        <f t="shared" si="1"/>
        <v>319000</v>
      </c>
      <c r="G19">
        <v>2</v>
      </c>
    </row>
    <row r="20" spans="1:7" x14ac:dyDescent="0.15">
      <c r="A20">
        <f t="shared" si="0"/>
        <v>10</v>
      </c>
      <c r="B20">
        <v>1</v>
      </c>
      <c r="C20">
        <v>10</v>
      </c>
      <c r="D20" s="4" t="s">
        <v>752</v>
      </c>
      <c r="E20" t="str">
        <f>案件!$F$11</f>
        <v>2015-09-30</v>
      </c>
      <c r="F20">
        <f t="shared" si="1"/>
        <v>320000</v>
      </c>
      <c r="G20">
        <v>2</v>
      </c>
    </row>
    <row r="21" spans="1:7" x14ac:dyDescent="0.15">
      <c r="A21">
        <f t="shared" si="0"/>
        <v>11</v>
      </c>
      <c r="B21">
        <v>1</v>
      </c>
      <c r="C21">
        <v>11</v>
      </c>
      <c r="D21" s="4" t="s">
        <v>753</v>
      </c>
      <c r="E21" t="str">
        <f>案件!$F$11</f>
        <v>2015-09-30</v>
      </c>
      <c r="F21">
        <f t="shared" si="1"/>
        <v>321000</v>
      </c>
      <c r="G21">
        <v>2</v>
      </c>
    </row>
    <row r="22" spans="1:7" x14ac:dyDescent="0.15">
      <c r="A22">
        <f t="shared" si="0"/>
        <v>12</v>
      </c>
      <c r="B22">
        <v>1</v>
      </c>
      <c r="C22">
        <v>12</v>
      </c>
      <c r="D22" s="4" t="s">
        <v>754</v>
      </c>
      <c r="E22" t="str">
        <f>案件!$F$11</f>
        <v>2015-09-30</v>
      </c>
      <c r="F22">
        <f t="shared" si="1"/>
        <v>322000</v>
      </c>
      <c r="G22">
        <v>2</v>
      </c>
    </row>
    <row r="23" spans="1:7" x14ac:dyDescent="0.15">
      <c r="A23">
        <f t="shared" si="0"/>
        <v>13</v>
      </c>
      <c r="B23">
        <v>1</v>
      </c>
      <c r="C23">
        <v>13</v>
      </c>
      <c r="D23" s="4" t="s">
        <v>755</v>
      </c>
      <c r="E23" t="str">
        <f>案件!$F$11</f>
        <v>2015-09-30</v>
      </c>
      <c r="F23">
        <f t="shared" si="1"/>
        <v>323000</v>
      </c>
      <c r="G23">
        <v>2</v>
      </c>
    </row>
    <row r="24" spans="1:7" x14ac:dyDescent="0.15">
      <c r="A24">
        <f t="shared" si="0"/>
        <v>14</v>
      </c>
      <c r="B24">
        <v>1</v>
      </c>
      <c r="C24">
        <v>14</v>
      </c>
      <c r="D24" s="4" t="s">
        <v>756</v>
      </c>
      <c r="E24" t="str">
        <f>案件!$F$11</f>
        <v>2015-09-30</v>
      </c>
      <c r="F24">
        <f t="shared" si="1"/>
        <v>324000</v>
      </c>
      <c r="G24">
        <v>2</v>
      </c>
    </row>
    <row r="25" spans="1:7" x14ac:dyDescent="0.15">
      <c r="A25">
        <f t="shared" si="0"/>
        <v>15</v>
      </c>
      <c r="B25">
        <v>1</v>
      </c>
      <c r="C25">
        <v>15</v>
      </c>
      <c r="D25" s="4" t="s">
        <v>757</v>
      </c>
      <c r="E25" t="str">
        <f>案件!$F$11</f>
        <v>2015-09-30</v>
      </c>
      <c r="F25">
        <f t="shared" si="1"/>
        <v>325000</v>
      </c>
      <c r="G25">
        <v>2</v>
      </c>
    </row>
    <row r="26" spans="1:7" x14ac:dyDescent="0.15">
      <c r="A26">
        <f t="shared" si="0"/>
        <v>16</v>
      </c>
      <c r="B26">
        <v>1</v>
      </c>
      <c r="C26">
        <v>16</v>
      </c>
      <c r="D26" s="4" t="s">
        <v>758</v>
      </c>
      <c r="E26" t="str">
        <f>案件!$F$11</f>
        <v>2015-09-30</v>
      </c>
      <c r="F26">
        <f t="shared" si="1"/>
        <v>326000</v>
      </c>
      <c r="G26">
        <v>2</v>
      </c>
    </row>
    <row r="27" spans="1:7" x14ac:dyDescent="0.15">
      <c r="A27">
        <f t="shared" si="0"/>
        <v>17</v>
      </c>
      <c r="B27">
        <v>1</v>
      </c>
      <c r="C27">
        <v>17</v>
      </c>
      <c r="D27" s="4" t="s">
        <v>759</v>
      </c>
      <c r="E27" t="str">
        <f>案件!$F$11</f>
        <v>2015-09-30</v>
      </c>
      <c r="F27">
        <f t="shared" si="1"/>
        <v>327000</v>
      </c>
      <c r="G27">
        <v>2</v>
      </c>
    </row>
    <row r="28" spans="1:7" x14ac:dyDescent="0.15">
      <c r="A28">
        <f t="shared" si="0"/>
        <v>18</v>
      </c>
      <c r="B28">
        <v>1</v>
      </c>
      <c r="C28">
        <v>18</v>
      </c>
      <c r="D28" s="4" t="s">
        <v>760</v>
      </c>
      <c r="E28" t="str">
        <f>案件!$F$11</f>
        <v>2015-09-30</v>
      </c>
      <c r="F28">
        <f t="shared" si="1"/>
        <v>328000</v>
      </c>
      <c r="G28">
        <v>2</v>
      </c>
    </row>
    <row r="29" spans="1:7" x14ac:dyDescent="0.15">
      <c r="A29">
        <f t="shared" si="0"/>
        <v>19</v>
      </c>
      <c r="B29">
        <v>1</v>
      </c>
      <c r="C29">
        <v>19</v>
      </c>
      <c r="D29" s="4" t="s">
        <v>761</v>
      </c>
      <c r="E29" t="str">
        <f>案件!$F$11</f>
        <v>2015-09-30</v>
      </c>
      <c r="F29">
        <f t="shared" si="1"/>
        <v>329000</v>
      </c>
      <c r="G29">
        <v>2</v>
      </c>
    </row>
    <row r="30" spans="1:7" x14ac:dyDescent="0.15">
      <c r="A30">
        <f t="shared" si="0"/>
        <v>20</v>
      </c>
      <c r="B30">
        <v>1</v>
      </c>
      <c r="C30">
        <v>20</v>
      </c>
      <c r="D30" s="4" t="s">
        <v>762</v>
      </c>
      <c r="E30" t="str">
        <f>案件!$F$11</f>
        <v>2015-09-30</v>
      </c>
      <c r="F30">
        <f t="shared" si="1"/>
        <v>330000</v>
      </c>
      <c r="G30">
        <v>2</v>
      </c>
    </row>
    <row r="31" spans="1:7" x14ac:dyDescent="0.15">
      <c r="A31">
        <f t="shared" si="0"/>
        <v>21</v>
      </c>
      <c r="B31">
        <v>1</v>
      </c>
      <c r="C31">
        <v>21</v>
      </c>
      <c r="D31" s="4" t="s">
        <v>763</v>
      </c>
      <c r="E31" t="str">
        <f>案件!$F$11</f>
        <v>2015-09-30</v>
      </c>
      <c r="F31">
        <f t="shared" si="1"/>
        <v>331000</v>
      </c>
      <c r="G31">
        <v>2</v>
      </c>
    </row>
    <row r="32" spans="1:7" x14ac:dyDescent="0.15">
      <c r="A32">
        <f t="shared" si="0"/>
        <v>22</v>
      </c>
      <c r="B32">
        <v>1</v>
      </c>
      <c r="C32">
        <v>22</v>
      </c>
      <c r="D32" s="4" t="s">
        <v>764</v>
      </c>
      <c r="E32" t="str">
        <f>案件!$F$11</f>
        <v>2015-09-30</v>
      </c>
      <c r="F32">
        <f t="shared" si="1"/>
        <v>332000</v>
      </c>
      <c r="G32">
        <v>2</v>
      </c>
    </row>
    <row r="33" spans="1:7" x14ac:dyDescent="0.15">
      <c r="A33">
        <f t="shared" si="0"/>
        <v>23</v>
      </c>
      <c r="B33">
        <v>1</v>
      </c>
      <c r="C33">
        <v>23</v>
      </c>
      <c r="D33" s="4" t="s">
        <v>765</v>
      </c>
      <c r="E33" t="str">
        <f>案件!$F$11</f>
        <v>2015-09-30</v>
      </c>
      <c r="F33">
        <f t="shared" si="1"/>
        <v>333000</v>
      </c>
      <c r="G33">
        <v>2</v>
      </c>
    </row>
    <row r="34" spans="1:7" x14ac:dyDescent="0.15">
      <c r="A34">
        <f t="shared" si="0"/>
        <v>24</v>
      </c>
      <c r="B34">
        <v>1</v>
      </c>
      <c r="C34">
        <v>24</v>
      </c>
      <c r="D34" s="4" t="s">
        <v>766</v>
      </c>
      <c r="E34" t="str">
        <f>案件!$F$11</f>
        <v>2015-09-30</v>
      </c>
      <c r="F34">
        <f t="shared" si="1"/>
        <v>334000</v>
      </c>
      <c r="G34">
        <v>2</v>
      </c>
    </row>
    <row r="35" spans="1:7" x14ac:dyDescent="0.15">
      <c r="A35">
        <f t="shared" si="0"/>
        <v>25</v>
      </c>
      <c r="B35">
        <v>1</v>
      </c>
      <c r="C35">
        <v>25</v>
      </c>
      <c r="D35" s="4" t="s">
        <v>767</v>
      </c>
      <c r="E35" t="str">
        <f>案件!$F$11</f>
        <v>2015-09-30</v>
      </c>
      <c r="F35">
        <f t="shared" si="1"/>
        <v>335000</v>
      </c>
      <c r="G35">
        <v>2</v>
      </c>
    </row>
    <row r="36" spans="1:7" x14ac:dyDescent="0.15">
      <c r="A36">
        <f t="shared" si="0"/>
        <v>26</v>
      </c>
      <c r="B36">
        <v>1</v>
      </c>
      <c r="C36">
        <v>26</v>
      </c>
      <c r="D36" s="4" t="s">
        <v>768</v>
      </c>
      <c r="E36" t="str">
        <f>案件!$F$11</f>
        <v>2015-09-30</v>
      </c>
      <c r="F36">
        <f t="shared" si="1"/>
        <v>336000</v>
      </c>
      <c r="G36">
        <v>2</v>
      </c>
    </row>
    <row r="37" spans="1:7" x14ac:dyDescent="0.15">
      <c r="A37">
        <f t="shared" si="0"/>
        <v>27</v>
      </c>
      <c r="B37">
        <v>1</v>
      </c>
      <c r="C37">
        <v>27</v>
      </c>
      <c r="D37" s="4" t="s">
        <v>769</v>
      </c>
      <c r="E37" t="str">
        <f>案件!$F$11</f>
        <v>2015-09-30</v>
      </c>
      <c r="F37">
        <f t="shared" si="1"/>
        <v>337000</v>
      </c>
      <c r="G37">
        <v>2</v>
      </c>
    </row>
    <row r="38" spans="1:7" x14ac:dyDescent="0.15">
      <c r="A38">
        <f t="shared" si="0"/>
        <v>28</v>
      </c>
      <c r="B38">
        <v>1</v>
      </c>
      <c r="C38">
        <v>28</v>
      </c>
      <c r="D38" s="4" t="s">
        <v>770</v>
      </c>
      <c r="E38" t="str">
        <f>案件!$F$11</f>
        <v>2015-09-30</v>
      </c>
      <c r="F38">
        <f t="shared" si="1"/>
        <v>338000</v>
      </c>
      <c r="G38">
        <v>2</v>
      </c>
    </row>
    <row r="39" spans="1:7" x14ac:dyDescent="0.15">
      <c r="A39">
        <f t="shared" si="0"/>
        <v>29</v>
      </c>
      <c r="B39">
        <v>1</v>
      </c>
      <c r="C39">
        <v>29</v>
      </c>
      <c r="D39" s="4" t="s">
        <v>771</v>
      </c>
      <c r="E39" t="str">
        <f>案件!$F$11</f>
        <v>2015-09-30</v>
      </c>
      <c r="F39">
        <f t="shared" si="1"/>
        <v>339000</v>
      </c>
      <c r="G39">
        <v>2</v>
      </c>
    </row>
    <row r="40" spans="1:7" x14ac:dyDescent="0.15">
      <c r="A40">
        <f t="shared" si="0"/>
        <v>30</v>
      </c>
      <c r="B40">
        <v>1</v>
      </c>
      <c r="C40">
        <v>30</v>
      </c>
      <c r="D40" s="4" t="s">
        <v>772</v>
      </c>
      <c r="E40" t="str">
        <f>案件!$F$11</f>
        <v>2015-09-30</v>
      </c>
      <c r="F40">
        <f t="shared" si="1"/>
        <v>340000</v>
      </c>
      <c r="G40">
        <v>2</v>
      </c>
    </row>
    <row r="41" spans="1:7" x14ac:dyDescent="0.15">
      <c r="A41">
        <f t="shared" si="0"/>
        <v>31</v>
      </c>
      <c r="B41">
        <v>1</v>
      </c>
      <c r="C41">
        <v>31</v>
      </c>
      <c r="D41" s="4" t="s">
        <v>773</v>
      </c>
      <c r="E41" t="str">
        <f>案件!$F$11</f>
        <v>2015-09-30</v>
      </c>
      <c r="F41">
        <f t="shared" si="1"/>
        <v>341000</v>
      </c>
      <c r="G41">
        <v>2</v>
      </c>
    </row>
    <row r="42" spans="1:7" x14ac:dyDescent="0.15">
      <c r="A42">
        <f t="shared" si="0"/>
        <v>32</v>
      </c>
      <c r="B42">
        <v>1</v>
      </c>
      <c r="C42">
        <v>32</v>
      </c>
      <c r="D42" s="4" t="s">
        <v>774</v>
      </c>
      <c r="E42" t="str">
        <f>案件!$F$11</f>
        <v>2015-09-30</v>
      </c>
      <c r="F42">
        <f t="shared" si="1"/>
        <v>342000</v>
      </c>
      <c r="G42">
        <v>2</v>
      </c>
    </row>
    <row r="43" spans="1:7" x14ac:dyDescent="0.15">
      <c r="A43">
        <f t="shared" si="0"/>
        <v>33</v>
      </c>
      <c r="B43">
        <v>1</v>
      </c>
      <c r="C43">
        <v>33</v>
      </c>
      <c r="D43" s="4" t="s">
        <v>775</v>
      </c>
      <c r="E43" t="str">
        <f>案件!$F$11</f>
        <v>2015-09-30</v>
      </c>
      <c r="F43">
        <f t="shared" si="1"/>
        <v>343000</v>
      </c>
      <c r="G43">
        <v>2</v>
      </c>
    </row>
    <row r="44" spans="1:7" x14ac:dyDescent="0.15">
      <c r="A44">
        <f t="shared" si="0"/>
        <v>34</v>
      </c>
      <c r="B44">
        <v>1</v>
      </c>
      <c r="C44">
        <v>34</v>
      </c>
      <c r="D44" s="4" t="s">
        <v>776</v>
      </c>
      <c r="E44" t="str">
        <f>案件!$F$11</f>
        <v>2015-09-30</v>
      </c>
      <c r="F44">
        <f t="shared" si="1"/>
        <v>344000</v>
      </c>
      <c r="G44">
        <v>2</v>
      </c>
    </row>
    <row r="45" spans="1:7" x14ac:dyDescent="0.15">
      <c r="A45">
        <f t="shared" si="0"/>
        <v>35</v>
      </c>
      <c r="B45">
        <v>1</v>
      </c>
      <c r="C45">
        <v>35</v>
      </c>
      <c r="D45" s="4" t="s">
        <v>777</v>
      </c>
      <c r="E45" t="str">
        <f>案件!$F$11</f>
        <v>2015-09-30</v>
      </c>
      <c r="F45">
        <f t="shared" si="1"/>
        <v>345000</v>
      </c>
      <c r="G45">
        <v>2</v>
      </c>
    </row>
    <row r="46" spans="1:7" x14ac:dyDescent="0.15">
      <c r="A46">
        <f t="shared" si="0"/>
        <v>36</v>
      </c>
      <c r="B46">
        <v>1</v>
      </c>
      <c r="C46">
        <v>36</v>
      </c>
      <c r="D46" s="4" t="s">
        <v>778</v>
      </c>
      <c r="E46" t="str">
        <f>案件!$F$11</f>
        <v>2015-09-30</v>
      </c>
      <c r="F46">
        <f t="shared" si="1"/>
        <v>346000</v>
      </c>
      <c r="G46">
        <v>2</v>
      </c>
    </row>
    <row r="47" spans="1:7" x14ac:dyDescent="0.15">
      <c r="A47">
        <f t="shared" si="0"/>
        <v>37</v>
      </c>
      <c r="B47">
        <v>1</v>
      </c>
      <c r="C47">
        <v>37</v>
      </c>
      <c r="D47" s="4" t="s">
        <v>779</v>
      </c>
      <c r="E47" t="str">
        <f>案件!$F$11</f>
        <v>2015-09-30</v>
      </c>
      <c r="F47">
        <f t="shared" si="1"/>
        <v>347000</v>
      </c>
      <c r="G47">
        <v>2</v>
      </c>
    </row>
    <row r="48" spans="1:7" x14ac:dyDescent="0.15">
      <c r="A48">
        <f t="shared" si="0"/>
        <v>38</v>
      </c>
      <c r="B48">
        <v>1</v>
      </c>
      <c r="C48">
        <v>38</v>
      </c>
      <c r="D48" s="4" t="s">
        <v>780</v>
      </c>
      <c r="E48" t="str">
        <f>案件!$F$11</f>
        <v>2015-09-30</v>
      </c>
      <c r="F48">
        <f t="shared" si="1"/>
        <v>348000</v>
      </c>
      <c r="G48">
        <v>2</v>
      </c>
    </row>
    <row r="49" spans="1:7" x14ac:dyDescent="0.15">
      <c r="A49">
        <f t="shared" si="0"/>
        <v>39</v>
      </c>
      <c r="B49">
        <v>1</v>
      </c>
      <c r="C49">
        <v>39</v>
      </c>
      <c r="D49" s="4" t="s">
        <v>781</v>
      </c>
      <c r="E49" t="str">
        <f>案件!$F$11</f>
        <v>2015-09-30</v>
      </c>
      <c r="F49">
        <f t="shared" si="1"/>
        <v>349000</v>
      </c>
      <c r="G49">
        <v>2</v>
      </c>
    </row>
    <row r="50" spans="1:7" x14ac:dyDescent="0.15">
      <c r="A50">
        <f t="shared" si="0"/>
        <v>40</v>
      </c>
      <c r="B50">
        <v>1</v>
      </c>
      <c r="C50">
        <v>40</v>
      </c>
      <c r="D50" s="4" t="s">
        <v>782</v>
      </c>
      <c r="E50" t="str">
        <f>案件!$F$11</f>
        <v>2015-09-30</v>
      </c>
      <c r="F50">
        <f t="shared" si="1"/>
        <v>350000</v>
      </c>
      <c r="G50">
        <v>2</v>
      </c>
    </row>
    <row r="51" spans="1:7" x14ac:dyDescent="0.15">
      <c r="A51">
        <f t="shared" si="0"/>
        <v>41</v>
      </c>
      <c r="B51">
        <v>1</v>
      </c>
      <c r="C51">
        <v>41</v>
      </c>
      <c r="D51" s="4" t="s">
        <v>783</v>
      </c>
      <c r="E51" t="str">
        <f>案件!$F$11</f>
        <v>2015-09-30</v>
      </c>
      <c r="F51">
        <f t="shared" si="1"/>
        <v>351000</v>
      </c>
      <c r="G51">
        <v>2</v>
      </c>
    </row>
    <row r="52" spans="1:7" x14ac:dyDescent="0.15">
      <c r="A52">
        <f t="shared" si="0"/>
        <v>42</v>
      </c>
      <c r="B52">
        <v>1</v>
      </c>
      <c r="C52">
        <v>42</v>
      </c>
      <c r="D52" s="4" t="s">
        <v>784</v>
      </c>
      <c r="E52" t="str">
        <f>案件!$F$11</f>
        <v>2015-09-30</v>
      </c>
      <c r="F52">
        <f t="shared" si="1"/>
        <v>352000</v>
      </c>
      <c r="G52">
        <v>2</v>
      </c>
    </row>
    <row r="53" spans="1:7" x14ac:dyDescent="0.15">
      <c r="A53">
        <f t="shared" si="0"/>
        <v>43</v>
      </c>
      <c r="B53">
        <v>1</v>
      </c>
      <c r="C53">
        <v>43</v>
      </c>
      <c r="D53" s="4" t="s">
        <v>785</v>
      </c>
      <c r="E53" t="str">
        <f>案件!$F$11</f>
        <v>2015-09-30</v>
      </c>
      <c r="F53">
        <f t="shared" si="1"/>
        <v>353000</v>
      </c>
      <c r="G53">
        <v>2</v>
      </c>
    </row>
    <row r="54" spans="1:7" x14ac:dyDescent="0.15">
      <c r="A54">
        <f t="shared" si="0"/>
        <v>44</v>
      </c>
      <c r="B54">
        <v>1</v>
      </c>
      <c r="C54">
        <v>44</v>
      </c>
      <c r="D54" s="4" t="s">
        <v>786</v>
      </c>
      <c r="E54" t="str">
        <f>案件!$F$11</f>
        <v>2015-09-30</v>
      </c>
      <c r="F54">
        <f t="shared" si="1"/>
        <v>354000</v>
      </c>
      <c r="G54">
        <v>2</v>
      </c>
    </row>
    <row r="55" spans="1:7" x14ac:dyDescent="0.15">
      <c r="A55">
        <f t="shared" si="0"/>
        <v>45</v>
      </c>
      <c r="B55">
        <v>1</v>
      </c>
      <c r="C55">
        <v>45</v>
      </c>
      <c r="D55" s="4" t="s">
        <v>787</v>
      </c>
      <c r="E55" t="str">
        <f>案件!$F$11</f>
        <v>2015-09-30</v>
      </c>
      <c r="F55">
        <f t="shared" si="1"/>
        <v>355000</v>
      </c>
      <c r="G55">
        <v>2</v>
      </c>
    </row>
    <row r="56" spans="1:7" x14ac:dyDescent="0.15">
      <c r="A56">
        <f t="shared" si="0"/>
        <v>46</v>
      </c>
      <c r="B56">
        <v>1</v>
      </c>
      <c r="C56">
        <v>46</v>
      </c>
      <c r="D56" s="4" t="s">
        <v>788</v>
      </c>
      <c r="E56" t="str">
        <f>案件!$F$11</f>
        <v>2015-09-30</v>
      </c>
      <c r="F56">
        <f t="shared" si="1"/>
        <v>356000</v>
      </c>
      <c r="G56">
        <v>2</v>
      </c>
    </row>
    <row r="57" spans="1:7" x14ac:dyDescent="0.15">
      <c r="A57">
        <f t="shared" si="0"/>
        <v>47</v>
      </c>
      <c r="B57">
        <v>1</v>
      </c>
      <c r="C57">
        <v>47</v>
      </c>
      <c r="D57" s="4" t="s">
        <v>789</v>
      </c>
      <c r="E57" t="str">
        <f>案件!$F$11</f>
        <v>2015-09-30</v>
      </c>
      <c r="F57">
        <f t="shared" si="1"/>
        <v>357000</v>
      </c>
      <c r="G57">
        <v>2</v>
      </c>
    </row>
    <row r="58" spans="1:7" x14ac:dyDescent="0.15">
      <c r="A58">
        <f t="shared" si="0"/>
        <v>48</v>
      </c>
      <c r="B58">
        <v>1</v>
      </c>
      <c r="C58">
        <v>48</v>
      </c>
      <c r="D58" s="4" t="s">
        <v>790</v>
      </c>
      <c r="E58" t="str">
        <f>案件!$F$11</f>
        <v>2015-09-30</v>
      </c>
      <c r="F58">
        <f t="shared" si="1"/>
        <v>358000</v>
      </c>
      <c r="G58">
        <v>2</v>
      </c>
    </row>
    <row r="59" spans="1:7" x14ac:dyDescent="0.15">
      <c r="A59">
        <f t="shared" si="0"/>
        <v>49</v>
      </c>
      <c r="B59">
        <v>1</v>
      </c>
      <c r="C59">
        <v>49</v>
      </c>
      <c r="D59" s="4" t="s">
        <v>791</v>
      </c>
      <c r="E59" t="str">
        <f>案件!$F$11</f>
        <v>2015-09-30</v>
      </c>
      <c r="F59">
        <f t="shared" si="1"/>
        <v>359000</v>
      </c>
      <c r="G59">
        <v>2</v>
      </c>
    </row>
    <row r="60" spans="1:7" x14ac:dyDescent="0.15">
      <c r="A60">
        <f t="shared" si="0"/>
        <v>50</v>
      </c>
      <c r="B60">
        <v>1</v>
      </c>
      <c r="C60">
        <v>50</v>
      </c>
      <c r="D60" s="4" t="s">
        <v>792</v>
      </c>
      <c r="E60" t="str">
        <f>案件!$F$11</f>
        <v>2015-09-30</v>
      </c>
      <c r="F60">
        <f t="shared" si="1"/>
        <v>360000</v>
      </c>
      <c r="G60">
        <v>2</v>
      </c>
    </row>
    <row r="61" spans="1:7" x14ac:dyDescent="0.15">
      <c r="A61">
        <f t="shared" si="0"/>
        <v>51</v>
      </c>
      <c r="B61">
        <v>1</v>
      </c>
      <c r="C61">
        <v>51</v>
      </c>
      <c r="D61" s="4" t="s">
        <v>793</v>
      </c>
      <c r="E61" t="str">
        <f>案件!$F$11</f>
        <v>2015-09-30</v>
      </c>
      <c r="F61">
        <f t="shared" si="1"/>
        <v>361000</v>
      </c>
      <c r="G61">
        <v>2</v>
      </c>
    </row>
    <row r="62" spans="1:7" x14ac:dyDescent="0.15">
      <c r="A62">
        <f t="shared" si="0"/>
        <v>52</v>
      </c>
      <c r="B62">
        <v>1</v>
      </c>
      <c r="C62">
        <v>52</v>
      </c>
      <c r="D62" s="4" t="s">
        <v>794</v>
      </c>
      <c r="E62" t="str">
        <f>案件!$F$11</f>
        <v>2015-09-30</v>
      </c>
      <c r="F62">
        <f t="shared" si="1"/>
        <v>362000</v>
      </c>
      <c r="G62">
        <v>2</v>
      </c>
    </row>
    <row r="63" spans="1:7" x14ac:dyDescent="0.15">
      <c r="A63">
        <f t="shared" si="0"/>
        <v>53</v>
      </c>
      <c r="B63">
        <v>1</v>
      </c>
      <c r="C63">
        <v>53</v>
      </c>
      <c r="D63" s="4" t="s">
        <v>795</v>
      </c>
      <c r="E63" t="str">
        <f>案件!$F$11</f>
        <v>2015-09-30</v>
      </c>
      <c r="F63">
        <f t="shared" si="1"/>
        <v>363000</v>
      </c>
      <c r="G63">
        <v>2</v>
      </c>
    </row>
    <row r="64" spans="1:7" x14ac:dyDescent="0.15">
      <c r="A64">
        <f t="shared" si="0"/>
        <v>54</v>
      </c>
      <c r="B64">
        <v>1</v>
      </c>
      <c r="C64">
        <v>54</v>
      </c>
      <c r="D64" s="4" t="s">
        <v>796</v>
      </c>
      <c r="E64" t="str">
        <f>案件!$F$11</f>
        <v>2015-09-30</v>
      </c>
      <c r="F64">
        <f t="shared" si="1"/>
        <v>364000</v>
      </c>
      <c r="G64">
        <v>2</v>
      </c>
    </row>
    <row r="65" spans="1:7" x14ac:dyDescent="0.15">
      <c r="A65">
        <f t="shared" si="0"/>
        <v>55</v>
      </c>
      <c r="B65">
        <v>1</v>
      </c>
      <c r="C65">
        <v>55</v>
      </c>
      <c r="D65" s="4" t="s">
        <v>797</v>
      </c>
      <c r="E65" t="str">
        <f>案件!$F$11</f>
        <v>2015-09-30</v>
      </c>
      <c r="F65">
        <f t="shared" si="1"/>
        <v>365000</v>
      </c>
      <c r="G65">
        <v>2</v>
      </c>
    </row>
    <row r="66" spans="1:7" x14ac:dyDescent="0.15">
      <c r="A66">
        <f t="shared" si="0"/>
        <v>56</v>
      </c>
      <c r="B66">
        <v>1</v>
      </c>
      <c r="C66">
        <v>56</v>
      </c>
      <c r="D66" s="4" t="s">
        <v>798</v>
      </c>
      <c r="E66" t="str">
        <f>案件!$F$11</f>
        <v>2015-09-30</v>
      </c>
      <c r="F66">
        <f t="shared" si="1"/>
        <v>366000</v>
      </c>
      <c r="G66">
        <v>2</v>
      </c>
    </row>
    <row r="67" spans="1:7" x14ac:dyDescent="0.15">
      <c r="A67">
        <f t="shared" si="0"/>
        <v>57</v>
      </c>
      <c r="B67">
        <v>1</v>
      </c>
      <c r="C67">
        <v>57</v>
      </c>
      <c r="D67" s="4" t="s">
        <v>799</v>
      </c>
      <c r="E67" t="str">
        <f>案件!$F$11</f>
        <v>2015-09-30</v>
      </c>
      <c r="F67">
        <f t="shared" si="1"/>
        <v>367000</v>
      </c>
      <c r="G67">
        <v>2</v>
      </c>
    </row>
    <row r="68" spans="1:7" x14ac:dyDescent="0.15">
      <c r="A68">
        <f t="shared" si="0"/>
        <v>58</v>
      </c>
      <c r="B68">
        <v>1</v>
      </c>
      <c r="C68">
        <v>58</v>
      </c>
      <c r="D68" s="4" t="s">
        <v>800</v>
      </c>
      <c r="E68" t="str">
        <f>案件!$F$11</f>
        <v>2015-09-30</v>
      </c>
      <c r="F68">
        <f t="shared" si="1"/>
        <v>368000</v>
      </c>
      <c r="G68">
        <v>2</v>
      </c>
    </row>
    <row r="69" spans="1:7" x14ac:dyDescent="0.15">
      <c r="A69">
        <f t="shared" si="0"/>
        <v>59</v>
      </c>
      <c r="B69">
        <v>1</v>
      </c>
      <c r="C69">
        <v>59</v>
      </c>
      <c r="D69" s="4" t="s">
        <v>801</v>
      </c>
      <c r="E69" t="str">
        <f>案件!$F$11</f>
        <v>2015-09-30</v>
      </c>
      <c r="F69">
        <f t="shared" si="1"/>
        <v>369000</v>
      </c>
      <c r="G69">
        <v>2</v>
      </c>
    </row>
    <row r="70" spans="1:7" x14ac:dyDescent="0.15">
      <c r="A70">
        <f t="shared" si="0"/>
        <v>60</v>
      </c>
      <c r="B70">
        <v>1</v>
      </c>
      <c r="C70">
        <v>60</v>
      </c>
      <c r="D70" s="4" t="s">
        <v>802</v>
      </c>
      <c r="E70" t="str">
        <f>案件!$F$11</f>
        <v>2015-09-30</v>
      </c>
      <c r="F70">
        <f t="shared" si="1"/>
        <v>370000</v>
      </c>
      <c r="G70">
        <v>2</v>
      </c>
    </row>
    <row r="71" spans="1:7" x14ac:dyDescent="0.15">
      <c r="A71">
        <f t="shared" si="0"/>
        <v>61</v>
      </c>
      <c r="B71">
        <v>1</v>
      </c>
      <c r="C71">
        <v>61</v>
      </c>
      <c r="D71" s="4" t="s">
        <v>803</v>
      </c>
      <c r="E71" t="str">
        <f>案件!$F$11</f>
        <v>2015-09-30</v>
      </c>
      <c r="F71">
        <f t="shared" si="1"/>
        <v>371000</v>
      </c>
      <c r="G71">
        <v>2</v>
      </c>
    </row>
    <row r="72" spans="1:7" x14ac:dyDescent="0.15">
      <c r="A72">
        <f t="shared" si="0"/>
        <v>62</v>
      </c>
      <c r="B72">
        <v>1</v>
      </c>
      <c r="C72">
        <v>62</v>
      </c>
      <c r="D72" s="4" t="s">
        <v>804</v>
      </c>
      <c r="E72" t="str">
        <f>案件!$F$11</f>
        <v>2015-09-30</v>
      </c>
      <c r="F72">
        <f t="shared" si="1"/>
        <v>372000</v>
      </c>
      <c r="G72">
        <v>2</v>
      </c>
    </row>
    <row r="73" spans="1:7" x14ac:dyDescent="0.15">
      <c r="A73">
        <f t="shared" si="0"/>
        <v>63</v>
      </c>
      <c r="B73">
        <v>1</v>
      </c>
      <c r="C73">
        <v>63</v>
      </c>
      <c r="D73" s="4" t="s">
        <v>805</v>
      </c>
      <c r="E73" t="str">
        <f>案件!$F$11</f>
        <v>2015-09-30</v>
      </c>
      <c r="F73">
        <f t="shared" si="1"/>
        <v>373000</v>
      </c>
      <c r="G73">
        <v>2</v>
      </c>
    </row>
    <row r="74" spans="1:7" x14ac:dyDescent="0.15">
      <c r="A74">
        <f t="shared" si="0"/>
        <v>64</v>
      </c>
      <c r="B74">
        <v>1</v>
      </c>
      <c r="C74">
        <v>64</v>
      </c>
      <c r="D74" s="4" t="s">
        <v>806</v>
      </c>
      <c r="E74" t="str">
        <f>案件!$F$11</f>
        <v>2015-09-30</v>
      </c>
      <c r="F74">
        <f t="shared" si="1"/>
        <v>374000</v>
      </c>
      <c r="G74">
        <v>2</v>
      </c>
    </row>
    <row r="75" spans="1:7" x14ac:dyDescent="0.15">
      <c r="A75">
        <f t="shared" si="0"/>
        <v>65</v>
      </c>
      <c r="B75">
        <v>1</v>
      </c>
      <c r="C75">
        <v>65</v>
      </c>
      <c r="D75" s="4" t="s">
        <v>807</v>
      </c>
      <c r="E75" t="str">
        <f>案件!$F$11</f>
        <v>2015-09-30</v>
      </c>
      <c r="F75">
        <f t="shared" si="1"/>
        <v>375000</v>
      </c>
      <c r="G75">
        <v>2</v>
      </c>
    </row>
    <row r="76" spans="1:7" x14ac:dyDescent="0.15">
      <c r="A76">
        <f t="shared" ref="A76:A139" si="2">ROW()-10</f>
        <v>66</v>
      </c>
      <c r="B76">
        <v>1</v>
      </c>
      <c r="C76">
        <v>66</v>
      </c>
      <c r="D76" s="4" t="s">
        <v>808</v>
      </c>
      <c r="E76" t="str">
        <f>案件!$F$11</f>
        <v>2015-09-30</v>
      </c>
      <c r="F76">
        <f t="shared" si="1"/>
        <v>376000</v>
      </c>
      <c r="G76">
        <v>2</v>
      </c>
    </row>
    <row r="77" spans="1:7" x14ac:dyDescent="0.15">
      <c r="A77">
        <f t="shared" si="2"/>
        <v>67</v>
      </c>
      <c r="B77">
        <v>1</v>
      </c>
      <c r="C77">
        <v>67</v>
      </c>
      <c r="D77" s="4" t="s">
        <v>809</v>
      </c>
      <c r="E77" t="str">
        <f>案件!$F$11</f>
        <v>2015-09-30</v>
      </c>
      <c r="F77">
        <f t="shared" ref="F77:F140" si="3">$F$11+1000*ROW()</f>
        <v>377000</v>
      </c>
      <c r="G77">
        <v>2</v>
      </c>
    </row>
    <row r="78" spans="1:7" x14ac:dyDescent="0.15">
      <c r="A78">
        <f t="shared" si="2"/>
        <v>68</v>
      </c>
      <c r="B78">
        <v>1</v>
      </c>
      <c r="C78">
        <v>68</v>
      </c>
      <c r="D78" s="4" t="s">
        <v>810</v>
      </c>
      <c r="E78" t="str">
        <f>案件!$F$11</f>
        <v>2015-09-30</v>
      </c>
      <c r="F78">
        <f t="shared" si="3"/>
        <v>378000</v>
      </c>
      <c r="G78">
        <v>2</v>
      </c>
    </row>
    <row r="79" spans="1:7" x14ac:dyDescent="0.15">
      <c r="A79">
        <f t="shared" si="2"/>
        <v>69</v>
      </c>
      <c r="B79">
        <v>1</v>
      </c>
      <c r="C79">
        <v>69</v>
      </c>
      <c r="D79" s="4" t="s">
        <v>811</v>
      </c>
      <c r="E79" t="str">
        <f>案件!$F$11</f>
        <v>2015-09-30</v>
      </c>
      <c r="F79">
        <f t="shared" si="3"/>
        <v>379000</v>
      </c>
      <c r="G79">
        <v>2</v>
      </c>
    </row>
    <row r="80" spans="1:7" x14ac:dyDescent="0.15">
      <c r="A80">
        <f t="shared" si="2"/>
        <v>70</v>
      </c>
      <c r="B80">
        <v>1</v>
      </c>
      <c r="C80">
        <v>70</v>
      </c>
      <c r="D80" s="4" t="s">
        <v>812</v>
      </c>
      <c r="E80" t="str">
        <f>案件!$F$11</f>
        <v>2015-09-30</v>
      </c>
      <c r="F80">
        <f t="shared" si="3"/>
        <v>380000</v>
      </c>
      <c r="G80">
        <v>2</v>
      </c>
    </row>
    <row r="81" spans="1:7" x14ac:dyDescent="0.15">
      <c r="A81">
        <f t="shared" si="2"/>
        <v>71</v>
      </c>
      <c r="B81">
        <v>1</v>
      </c>
      <c r="C81">
        <v>71</v>
      </c>
      <c r="D81" s="4" t="s">
        <v>813</v>
      </c>
      <c r="E81" t="str">
        <f>案件!$F$11</f>
        <v>2015-09-30</v>
      </c>
      <c r="F81">
        <f t="shared" si="3"/>
        <v>381000</v>
      </c>
      <c r="G81">
        <v>2</v>
      </c>
    </row>
    <row r="82" spans="1:7" x14ac:dyDescent="0.15">
      <c r="A82">
        <f t="shared" si="2"/>
        <v>72</v>
      </c>
      <c r="B82">
        <v>1</v>
      </c>
      <c r="C82">
        <v>72</v>
      </c>
      <c r="D82" s="4" t="s">
        <v>814</v>
      </c>
      <c r="E82" t="str">
        <f>案件!$F$11</f>
        <v>2015-09-30</v>
      </c>
      <c r="F82">
        <f t="shared" si="3"/>
        <v>382000</v>
      </c>
      <c r="G82">
        <v>2</v>
      </c>
    </row>
    <row r="83" spans="1:7" x14ac:dyDescent="0.15">
      <c r="A83">
        <f t="shared" si="2"/>
        <v>73</v>
      </c>
      <c r="B83">
        <v>1</v>
      </c>
      <c r="C83">
        <v>73</v>
      </c>
      <c r="D83" s="4" t="s">
        <v>815</v>
      </c>
      <c r="E83" t="str">
        <f>案件!$F$11</f>
        <v>2015-09-30</v>
      </c>
      <c r="F83">
        <f t="shared" si="3"/>
        <v>383000</v>
      </c>
      <c r="G83">
        <v>2</v>
      </c>
    </row>
    <row r="84" spans="1:7" x14ac:dyDescent="0.15">
      <c r="A84">
        <f t="shared" si="2"/>
        <v>74</v>
      </c>
      <c r="B84">
        <v>1</v>
      </c>
      <c r="C84">
        <v>74</v>
      </c>
      <c r="D84" s="4" t="s">
        <v>816</v>
      </c>
      <c r="E84" t="str">
        <f>案件!$F$11</f>
        <v>2015-09-30</v>
      </c>
      <c r="F84">
        <f t="shared" si="3"/>
        <v>384000</v>
      </c>
      <c r="G84">
        <v>2</v>
      </c>
    </row>
    <row r="85" spans="1:7" x14ac:dyDescent="0.15">
      <c r="A85">
        <f t="shared" si="2"/>
        <v>75</v>
      </c>
      <c r="B85">
        <v>1</v>
      </c>
      <c r="C85">
        <v>75</v>
      </c>
      <c r="D85" s="4" t="s">
        <v>817</v>
      </c>
      <c r="E85" t="str">
        <f>案件!$F$11</f>
        <v>2015-09-30</v>
      </c>
      <c r="F85">
        <f t="shared" si="3"/>
        <v>385000</v>
      </c>
      <c r="G85">
        <v>2</v>
      </c>
    </row>
    <row r="86" spans="1:7" x14ac:dyDescent="0.15">
      <c r="A86">
        <f t="shared" si="2"/>
        <v>76</v>
      </c>
      <c r="B86">
        <v>2</v>
      </c>
      <c r="C86">
        <v>76</v>
      </c>
      <c r="D86" s="4" t="s">
        <v>743</v>
      </c>
      <c r="E86" t="str">
        <f>案件!$F$12</f>
        <v>2015-10-30</v>
      </c>
      <c r="F86">
        <f t="shared" si="3"/>
        <v>386000</v>
      </c>
      <c r="G86">
        <v>2</v>
      </c>
    </row>
    <row r="87" spans="1:7" x14ac:dyDescent="0.15">
      <c r="A87">
        <f t="shared" si="2"/>
        <v>77</v>
      </c>
      <c r="B87">
        <v>2</v>
      </c>
      <c r="C87">
        <v>77</v>
      </c>
      <c r="D87" s="4" t="s">
        <v>744</v>
      </c>
      <c r="E87" t="str">
        <f>案件!$F$12</f>
        <v>2015-10-30</v>
      </c>
      <c r="F87">
        <f t="shared" si="3"/>
        <v>387000</v>
      </c>
      <c r="G87">
        <v>2</v>
      </c>
    </row>
    <row r="88" spans="1:7" x14ac:dyDescent="0.15">
      <c r="A88">
        <f t="shared" si="2"/>
        <v>78</v>
      </c>
      <c r="B88">
        <v>2</v>
      </c>
      <c r="C88">
        <v>78</v>
      </c>
      <c r="D88" s="4" t="s">
        <v>745</v>
      </c>
      <c r="E88" t="str">
        <f>案件!$F$12</f>
        <v>2015-10-30</v>
      </c>
      <c r="F88">
        <f t="shared" si="3"/>
        <v>388000</v>
      </c>
      <c r="G88">
        <v>2</v>
      </c>
    </row>
    <row r="89" spans="1:7" x14ac:dyDescent="0.15">
      <c r="A89">
        <f t="shared" si="2"/>
        <v>79</v>
      </c>
      <c r="B89">
        <v>2</v>
      </c>
      <c r="C89">
        <v>79</v>
      </c>
      <c r="D89" s="4" t="s">
        <v>746</v>
      </c>
      <c r="E89" t="str">
        <f>案件!$F$12</f>
        <v>2015-10-30</v>
      </c>
      <c r="F89">
        <f t="shared" si="3"/>
        <v>389000</v>
      </c>
      <c r="G89">
        <v>2</v>
      </c>
    </row>
    <row r="90" spans="1:7" x14ac:dyDescent="0.15">
      <c r="A90">
        <f t="shared" si="2"/>
        <v>80</v>
      </c>
      <c r="B90">
        <v>2</v>
      </c>
      <c r="C90">
        <v>80</v>
      </c>
      <c r="D90" s="4" t="s">
        <v>747</v>
      </c>
      <c r="E90" t="str">
        <f>案件!$F$12</f>
        <v>2015-10-30</v>
      </c>
      <c r="F90">
        <f t="shared" si="3"/>
        <v>390000</v>
      </c>
      <c r="G90">
        <v>2</v>
      </c>
    </row>
    <row r="91" spans="1:7" x14ac:dyDescent="0.15">
      <c r="A91">
        <f t="shared" si="2"/>
        <v>81</v>
      </c>
      <c r="B91">
        <v>2</v>
      </c>
      <c r="C91">
        <v>81</v>
      </c>
      <c r="D91" s="4" t="s">
        <v>748</v>
      </c>
      <c r="E91" t="str">
        <f>案件!$F$12</f>
        <v>2015-10-30</v>
      </c>
      <c r="F91">
        <f t="shared" si="3"/>
        <v>391000</v>
      </c>
      <c r="G91">
        <v>2</v>
      </c>
    </row>
    <row r="92" spans="1:7" x14ac:dyDescent="0.15">
      <c r="A92">
        <f t="shared" si="2"/>
        <v>82</v>
      </c>
      <c r="B92">
        <v>2</v>
      </c>
      <c r="C92">
        <v>82</v>
      </c>
      <c r="D92" s="4" t="s">
        <v>749</v>
      </c>
      <c r="E92" t="str">
        <f>案件!$F$12</f>
        <v>2015-10-30</v>
      </c>
      <c r="F92">
        <f t="shared" si="3"/>
        <v>392000</v>
      </c>
      <c r="G92">
        <v>2</v>
      </c>
    </row>
    <row r="93" spans="1:7" x14ac:dyDescent="0.15">
      <c r="A93">
        <f t="shared" si="2"/>
        <v>83</v>
      </c>
      <c r="B93">
        <v>2</v>
      </c>
      <c r="C93">
        <v>83</v>
      </c>
      <c r="D93" s="4" t="s">
        <v>750</v>
      </c>
      <c r="E93" t="str">
        <f>案件!$F$12</f>
        <v>2015-10-30</v>
      </c>
      <c r="F93">
        <f t="shared" si="3"/>
        <v>393000</v>
      </c>
      <c r="G93">
        <v>2</v>
      </c>
    </row>
    <row r="94" spans="1:7" x14ac:dyDescent="0.15">
      <c r="A94">
        <f t="shared" si="2"/>
        <v>84</v>
      </c>
      <c r="B94">
        <v>2</v>
      </c>
      <c r="C94">
        <v>84</v>
      </c>
      <c r="D94" s="4" t="s">
        <v>751</v>
      </c>
      <c r="E94" t="str">
        <f>案件!$F$12</f>
        <v>2015-10-30</v>
      </c>
      <c r="F94">
        <f t="shared" si="3"/>
        <v>394000</v>
      </c>
      <c r="G94">
        <v>2</v>
      </c>
    </row>
    <row r="95" spans="1:7" x14ac:dyDescent="0.15">
      <c r="A95">
        <f t="shared" si="2"/>
        <v>85</v>
      </c>
      <c r="B95">
        <v>2</v>
      </c>
      <c r="C95">
        <v>85</v>
      </c>
      <c r="D95" s="4" t="s">
        <v>752</v>
      </c>
      <c r="E95" t="str">
        <f>案件!$F$12</f>
        <v>2015-10-30</v>
      </c>
      <c r="F95">
        <f t="shared" si="3"/>
        <v>395000</v>
      </c>
      <c r="G95">
        <v>2</v>
      </c>
    </row>
    <row r="96" spans="1:7" x14ac:dyDescent="0.15">
      <c r="A96">
        <f t="shared" si="2"/>
        <v>86</v>
      </c>
      <c r="B96">
        <v>2</v>
      </c>
      <c r="C96">
        <v>86</v>
      </c>
      <c r="D96" s="4" t="s">
        <v>753</v>
      </c>
      <c r="E96" t="str">
        <f>案件!$F$12</f>
        <v>2015-10-30</v>
      </c>
      <c r="F96">
        <f t="shared" si="3"/>
        <v>396000</v>
      </c>
      <c r="G96">
        <v>2</v>
      </c>
    </row>
    <row r="97" spans="1:7" x14ac:dyDescent="0.15">
      <c r="A97">
        <f t="shared" si="2"/>
        <v>87</v>
      </c>
      <c r="B97">
        <v>2</v>
      </c>
      <c r="C97">
        <v>87</v>
      </c>
      <c r="D97" s="4" t="s">
        <v>754</v>
      </c>
      <c r="E97" t="str">
        <f>案件!$F$12</f>
        <v>2015-10-30</v>
      </c>
      <c r="F97">
        <f t="shared" si="3"/>
        <v>397000</v>
      </c>
      <c r="G97">
        <v>2</v>
      </c>
    </row>
    <row r="98" spans="1:7" x14ac:dyDescent="0.15">
      <c r="A98">
        <f t="shared" si="2"/>
        <v>88</v>
      </c>
      <c r="B98">
        <v>2</v>
      </c>
      <c r="C98">
        <v>88</v>
      </c>
      <c r="D98" s="4" t="s">
        <v>755</v>
      </c>
      <c r="E98" t="str">
        <f>案件!$F$12</f>
        <v>2015-10-30</v>
      </c>
      <c r="F98">
        <f t="shared" si="3"/>
        <v>398000</v>
      </c>
      <c r="G98">
        <v>2</v>
      </c>
    </row>
    <row r="99" spans="1:7" x14ac:dyDescent="0.15">
      <c r="A99">
        <f t="shared" si="2"/>
        <v>89</v>
      </c>
      <c r="B99">
        <v>2</v>
      </c>
      <c r="C99">
        <v>89</v>
      </c>
      <c r="D99" s="4" t="s">
        <v>756</v>
      </c>
      <c r="E99" t="str">
        <f>案件!$F$12</f>
        <v>2015-10-30</v>
      </c>
      <c r="F99">
        <f t="shared" si="3"/>
        <v>399000</v>
      </c>
      <c r="G99">
        <v>2</v>
      </c>
    </row>
    <row r="100" spans="1:7" x14ac:dyDescent="0.15">
      <c r="A100">
        <f t="shared" si="2"/>
        <v>90</v>
      </c>
      <c r="B100">
        <v>2</v>
      </c>
      <c r="C100">
        <v>90</v>
      </c>
      <c r="D100" s="4" t="s">
        <v>757</v>
      </c>
      <c r="E100" t="str">
        <f>案件!$F$12</f>
        <v>2015-10-30</v>
      </c>
      <c r="F100">
        <f t="shared" si="3"/>
        <v>400000</v>
      </c>
      <c r="G100">
        <v>2</v>
      </c>
    </row>
    <row r="101" spans="1:7" x14ac:dyDescent="0.15">
      <c r="A101">
        <f t="shared" si="2"/>
        <v>91</v>
      </c>
      <c r="B101">
        <v>2</v>
      </c>
      <c r="C101">
        <v>91</v>
      </c>
      <c r="D101" s="4" t="s">
        <v>758</v>
      </c>
      <c r="E101" t="str">
        <f>案件!$F$12</f>
        <v>2015-10-30</v>
      </c>
      <c r="F101">
        <f t="shared" si="3"/>
        <v>401000</v>
      </c>
      <c r="G101">
        <v>2</v>
      </c>
    </row>
    <row r="102" spans="1:7" x14ac:dyDescent="0.15">
      <c r="A102">
        <f t="shared" si="2"/>
        <v>92</v>
      </c>
      <c r="B102">
        <v>2</v>
      </c>
      <c r="C102">
        <v>92</v>
      </c>
      <c r="D102" s="4" t="s">
        <v>759</v>
      </c>
      <c r="E102" t="str">
        <f>案件!$F$12</f>
        <v>2015-10-30</v>
      </c>
      <c r="F102">
        <f t="shared" si="3"/>
        <v>402000</v>
      </c>
      <c r="G102">
        <v>2</v>
      </c>
    </row>
    <row r="103" spans="1:7" x14ac:dyDescent="0.15">
      <c r="A103">
        <f t="shared" si="2"/>
        <v>93</v>
      </c>
      <c r="B103">
        <v>2</v>
      </c>
      <c r="C103">
        <v>93</v>
      </c>
      <c r="D103" s="4" t="s">
        <v>760</v>
      </c>
      <c r="E103" t="str">
        <f>案件!$F$12</f>
        <v>2015-10-30</v>
      </c>
      <c r="F103">
        <f t="shared" si="3"/>
        <v>403000</v>
      </c>
      <c r="G103">
        <v>2</v>
      </c>
    </row>
    <row r="104" spans="1:7" x14ac:dyDescent="0.15">
      <c r="A104">
        <f t="shared" si="2"/>
        <v>94</v>
      </c>
      <c r="B104">
        <v>2</v>
      </c>
      <c r="C104">
        <v>94</v>
      </c>
      <c r="D104" s="4" t="s">
        <v>761</v>
      </c>
      <c r="E104" t="str">
        <f>案件!$F$12</f>
        <v>2015-10-30</v>
      </c>
      <c r="F104">
        <f t="shared" si="3"/>
        <v>404000</v>
      </c>
      <c r="G104">
        <v>2</v>
      </c>
    </row>
    <row r="105" spans="1:7" x14ac:dyDescent="0.15">
      <c r="A105">
        <f t="shared" si="2"/>
        <v>95</v>
      </c>
      <c r="B105">
        <v>2</v>
      </c>
      <c r="C105">
        <v>95</v>
      </c>
      <c r="D105" s="4" t="s">
        <v>762</v>
      </c>
      <c r="E105" t="str">
        <f>案件!$F$12</f>
        <v>2015-10-30</v>
      </c>
      <c r="F105">
        <f t="shared" si="3"/>
        <v>405000</v>
      </c>
      <c r="G105">
        <v>2</v>
      </c>
    </row>
    <row r="106" spans="1:7" x14ac:dyDescent="0.15">
      <c r="A106">
        <f t="shared" si="2"/>
        <v>96</v>
      </c>
      <c r="B106">
        <v>2</v>
      </c>
      <c r="C106">
        <v>96</v>
      </c>
      <c r="D106" s="4" t="s">
        <v>763</v>
      </c>
      <c r="E106" t="str">
        <f>案件!$F$12</f>
        <v>2015-10-30</v>
      </c>
      <c r="F106">
        <f t="shared" si="3"/>
        <v>406000</v>
      </c>
      <c r="G106">
        <v>2</v>
      </c>
    </row>
    <row r="107" spans="1:7" x14ac:dyDescent="0.15">
      <c r="A107">
        <f t="shared" si="2"/>
        <v>97</v>
      </c>
      <c r="B107">
        <v>2</v>
      </c>
      <c r="C107">
        <v>97</v>
      </c>
      <c r="D107" s="4" t="s">
        <v>764</v>
      </c>
      <c r="E107" t="str">
        <f>案件!$F$12</f>
        <v>2015-10-30</v>
      </c>
      <c r="F107">
        <f t="shared" si="3"/>
        <v>407000</v>
      </c>
      <c r="G107">
        <v>2</v>
      </c>
    </row>
    <row r="108" spans="1:7" x14ac:dyDescent="0.15">
      <c r="A108">
        <f t="shared" si="2"/>
        <v>98</v>
      </c>
      <c r="B108">
        <v>2</v>
      </c>
      <c r="C108">
        <v>98</v>
      </c>
      <c r="D108" s="4" t="s">
        <v>765</v>
      </c>
      <c r="E108" t="str">
        <f>案件!$F$12</f>
        <v>2015-10-30</v>
      </c>
      <c r="F108">
        <f t="shared" si="3"/>
        <v>408000</v>
      </c>
      <c r="G108">
        <v>2</v>
      </c>
    </row>
    <row r="109" spans="1:7" x14ac:dyDescent="0.15">
      <c r="A109">
        <f t="shared" si="2"/>
        <v>99</v>
      </c>
      <c r="B109">
        <v>2</v>
      </c>
      <c r="C109">
        <v>99</v>
      </c>
      <c r="D109" s="4" t="s">
        <v>766</v>
      </c>
      <c r="E109" t="str">
        <f>案件!$F$12</f>
        <v>2015-10-30</v>
      </c>
      <c r="F109">
        <f t="shared" si="3"/>
        <v>409000</v>
      </c>
      <c r="G109">
        <v>2</v>
      </c>
    </row>
    <row r="110" spans="1:7" x14ac:dyDescent="0.15">
      <c r="A110">
        <f t="shared" si="2"/>
        <v>100</v>
      </c>
      <c r="B110">
        <v>2</v>
      </c>
      <c r="C110">
        <v>100</v>
      </c>
      <c r="D110" s="4" t="s">
        <v>767</v>
      </c>
      <c r="E110" t="str">
        <f>案件!$F$12</f>
        <v>2015-10-30</v>
      </c>
      <c r="F110">
        <f t="shared" si="3"/>
        <v>410000</v>
      </c>
      <c r="G110">
        <v>2</v>
      </c>
    </row>
    <row r="111" spans="1:7" x14ac:dyDescent="0.15">
      <c r="A111">
        <f t="shared" si="2"/>
        <v>101</v>
      </c>
      <c r="B111">
        <v>2</v>
      </c>
      <c r="C111">
        <v>101</v>
      </c>
      <c r="D111" s="4" t="s">
        <v>768</v>
      </c>
      <c r="E111" t="str">
        <f>案件!$F$12</f>
        <v>2015-10-30</v>
      </c>
      <c r="F111">
        <f t="shared" si="3"/>
        <v>411000</v>
      </c>
      <c r="G111">
        <v>2</v>
      </c>
    </row>
    <row r="112" spans="1:7" x14ac:dyDescent="0.15">
      <c r="A112">
        <f t="shared" si="2"/>
        <v>102</v>
      </c>
      <c r="B112">
        <v>2</v>
      </c>
      <c r="C112">
        <v>102</v>
      </c>
      <c r="D112" s="4" t="s">
        <v>769</v>
      </c>
      <c r="E112" t="str">
        <f>案件!$F$12</f>
        <v>2015-10-30</v>
      </c>
      <c r="F112">
        <f t="shared" si="3"/>
        <v>412000</v>
      </c>
      <c r="G112">
        <v>2</v>
      </c>
    </row>
    <row r="113" spans="1:7" x14ac:dyDescent="0.15">
      <c r="A113">
        <f t="shared" si="2"/>
        <v>103</v>
      </c>
      <c r="B113">
        <v>2</v>
      </c>
      <c r="C113">
        <v>103</v>
      </c>
      <c r="D113" s="4" t="s">
        <v>770</v>
      </c>
      <c r="E113" t="str">
        <f>案件!$F$12</f>
        <v>2015-10-30</v>
      </c>
      <c r="F113">
        <f t="shared" si="3"/>
        <v>413000</v>
      </c>
      <c r="G113">
        <v>2</v>
      </c>
    </row>
    <row r="114" spans="1:7" x14ac:dyDescent="0.15">
      <c r="A114">
        <f t="shared" si="2"/>
        <v>104</v>
      </c>
      <c r="B114">
        <v>2</v>
      </c>
      <c r="C114">
        <v>104</v>
      </c>
      <c r="D114" s="4" t="s">
        <v>771</v>
      </c>
      <c r="E114" t="str">
        <f>案件!$F$12</f>
        <v>2015-10-30</v>
      </c>
      <c r="F114">
        <f t="shared" si="3"/>
        <v>414000</v>
      </c>
      <c r="G114">
        <v>2</v>
      </c>
    </row>
    <row r="115" spans="1:7" x14ac:dyDescent="0.15">
      <c r="A115">
        <f t="shared" si="2"/>
        <v>105</v>
      </c>
      <c r="B115">
        <v>2</v>
      </c>
      <c r="C115">
        <v>105</v>
      </c>
      <c r="D115" s="4" t="s">
        <v>772</v>
      </c>
      <c r="E115" t="str">
        <f>案件!$F$12</f>
        <v>2015-10-30</v>
      </c>
      <c r="F115">
        <f t="shared" si="3"/>
        <v>415000</v>
      </c>
      <c r="G115">
        <v>2</v>
      </c>
    </row>
    <row r="116" spans="1:7" x14ac:dyDescent="0.15">
      <c r="A116">
        <f t="shared" si="2"/>
        <v>106</v>
      </c>
      <c r="B116">
        <v>2</v>
      </c>
      <c r="C116">
        <v>106</v>
      </c>
      <c r="D116" s="4" t="s">
        <v>773</v>
      </c>
      <c r="E116" t="str">
        <f>案件!$F$12</f>
        <v>2015-10-30</v>
      </c>
      <c r="F116">
        <f t="shared" si="3"/>
        <v>416000</v>
      </c>
      <c r="G116">
        <v>2</v>
      </c>
    </row>
    <row r="117" spans="1:7" x14ac:dyDescent="0.15">
      <c r="A117">
        <f t="shared" si="2"/>
        <v>107</v>
      </c>
      <c r="B117">
        <v>2</v>
      </c>
      <c r="C117">
        <v>107</v>
      </c>
      <c r="D117" s="4" t="s">
        <v>774</v>
      </c>
      <c r="E117" t="str">
        <f>案件!$F$12</f>
        <v>2015-10-30</v>
      </c>
      <c r="F117">
        <f t="shared" si="3"/>
        <v>417000</v>
      </c>
      <c r="G117">
        <v>2</v>
      </c>
    </row>
    <row r="118" spans="1:7" x14ac:dyDescent="0.15">
      <c r="A118">
        <f t="shared" si="2"/>
        <v>108</v>
      </c>
      <c r="B118">
        <v>2</v>
      </c>
      <c r="C118">
        <v>108</v>
      </c>
      <c r="D118" s="4" t="s">
        <v>775</v>
      </c>
      <c r="E118" t="str">
        <f>案件!$F$12</f>
        <v>2015-10-30</v>
      </c>
      <c r="F118">
        <f t="shared" si="3"/>
        <v>418000</v>
      </c>
      <c r="G118">
        <v>2</v>
      </c>
    </row>
    <row r="119" spans="1:7" x14ac:dyDescent="0.15">
      <c r="A119">
        <f t="shared" si="2"/>
        <v>109</v>
      </c>
      <c r="B119">
        <v>2</v>
      </c>
      <c r="C119">
        <v>109</v>
      </c>
      <c r="D119" s="4" t="s">
        <v>776</v>
      </c>
      <c r="E119" t="str">
        <f>案件!$F$12</f>
        <v>2015-10-30</v>
      </c>
      <c r="F119">
        <f t="shared" si="3"/>
        <v>419000</v>
      </c>
      <c r="G119">
        <v>2</v>
      </c>
    </row>
    <row r="120" spans="1:7" x14ac:dyDescent="0.15">
      <c r="A120">
        <f t="shared" si="2"/>
        <v>110</v>
      </c>
      <c r="B120">
        <v>2</v>
      </c>
      <c r="C120">
        <v>110</v>
      </c>
      <c r="D120" s="4" t="s">
        <v>777</v>
      </c>
      <c r="E120" t="str">
        <f>案件!$F$12</f>
        <v>2015-10-30</v>
      </c>
      <c r="F120">
        <f t="shared" si="3"/>
        <v>420000</v>
      </c>
      <c r="G120">
        <v>2</v>
      </c>
    </row>
    <row r="121" spans="1:7" x14ac:dyDescent="0.15">
      <c r="A121">
        <f t="shared" si="2"/>
        <v>111</v>
      </c>
      <c r="B121">
        <v>2</v>
      </c>
      <c r="C121">
        <v>111</v>
      </c>
      <c r="D121" s="4" t="s">
        <v>778</v>
      </c>
      <c r="E121" t="str">
        <f>案件!$F$12</f>
        <v>2015-10-30</v>
      </c>
      <c r="F121">
        <f t="shared" si="3"/>
        <v>421000</v>
      </c>
      <c r="G121">
        <v>2</v>
      </c>
    </row>
    <row r="122" spans="1:7" x14ac:dyDescent="0.15">
      <c r="A122">
        <f t="shared" si="2"/>
        <v>112</v>
      </c>
      <c r="B122">
        <v>2</v>
      </c>
      <c r="C122">
        <v>112</v>
      </c>
      <c r="D122" s="4" t="s">
        <v>779</v>
      </c>
      <c r="E122" t="str">
        <f>案件!$F$12</f>
        <v>2015-10-30</v>
      </c>
      <c r="F122">
        <f t="shared" si="3"/>
        <v>422000</v>
      </c>
      <c r="G122">
        <v>2</v>
      </c>
    </row>
    <row r="123" spans="1:7" x14ac:dyDescent="0.15">
      <c r="A123">
        <f t="shared" si="2"/>
        <v>113</v>
      </c>
      <c r="B123">
        <v>2</v>
      </c>
      <c r="C123">
        <v>113</v>
      </c>
      <c r="D123" s="4" t="s">
        <v>780</v>
      </c>
      <c r="E123" t="str">
        <f>案件!$F$12</f>
        <v>2015-10-30</v>
      </c>
      <c r="F123">
        <f t="shared" si="3"/>
        <v>423000</v>
      </c>
      <c r="G123">
        <v>2</v>
      </c>
    </row>
    <row r="124" spans="1:7" x14ac:dyDescent="0.15">
      <c r="A124">
        <f t="shared" si="2"/>
        <v>114</v>
      </c>
      <c r="B124">
        <v>2</v>
      </c>
      <c r="C124">
        <v>114</v>
      </c>
      <c r="D124" s="4" t="s">
        <v>781</v>
      </c>
      <c r="E124" t="str">
        <f>案件!$F$12</f>
        <v>2015-10-30</v>
      </c>
      <c r="F124">
        <f t="shared" si="3"/>
        <v>424000</v>
      </c>
      <c r="G124">
        <v>2</v>
      </c>
    </row>
    <row r="125" spans="1:7" x14ac:dyDescent="0.15">
      <c r="A125">
        <f t="shared" si="2"/>
        <v>115</v>
      </c>
      <c r="B125">
        <v>2</v>
      </c>
      <c r="C125">
        <v>115</v>
      </c>
      <c r="D125" s="4" t="s">
        <v>782</v>
      </c>
      <c r="E125" t="str">
        <f>案件!$F$12</f>
        <v>2015-10-30</v>
      </c>
      <c r="F125">
        <f t="shared" si="3"/>
        <v>425000</v>
      </c>
      <c r="G125">
        <v>2</v>
      </c>
    </row>
    <row r="126" spans="1:7" x14ac:dyDescent="0.15">
      <c r="A126">
        <f t="shared" si="2"/>
        <v>116</v>
      </c>
      <c r="B126">
        <v>2</v>
      </c>
      <c r="C126">
        <v>116</v>
      </c>
      <c r="D126" s="4" t="s">
        <v>783</v>
      </c>
      <c r="E126" t="str">
        <f>案件!$F$12</f>
        <v>2015-10-30</v>
      </c>
      <c r="F126">
        <f t="shared" si="3"/>
        <v>426000</v>
      </c>
      <c r="G126">
        <v>2</v>
      </c>
    </row>
    <row r="127" spans="1:7" x14ac:dyDescent="0.15">
      <c r="A127">
        <f t="shared" si="2"/>
        <v>117</v>
      </c>
      <c r="B127">
        <v>2</v>
      </c>
      <c r="C127">
        <v>117</v>
      </c>
      <c r="D127" s="4" t="s">
        <v>784</v>
      </c>
      <c r="E127" t="str">
        <f>案件!$F$12</f>
        <v>2015-10-30</v>
      </c>
      <c r="F127">
        <f t="shared" si="3"/>
        <v>427000</v>
      </c>
      <c r="G127">
        <v>2</v>
      </c>
    </row>
    <row r="128" spans="1:7" x14ac:dyDescent="0.15">
      <c r="A128">
        <f t="shared" si="2"/>
        <v>118</v>
      </c>
      <c r="B128">
        <v>2</v>
      </c>
      <c r="C128">
        <v>118</v>
      </c>
      <c r="D128" s="4" t="s">
        <v>785</v>
      </c>
      <c r="E128" t="str">
        <f>案件!$F$12</f>
        <v>2015-10-30</v>
      </c>
      <c r="F128">
        <f t="shared" si="3"/>
        <v>428000</v>
      </c>
      <c r="G128">
        <v>2</v>
      </c>
    </row>
    <row r="129" spans="1:7" x14ac:dyDescent="0.15">
      <c r="A129">
        <f t="shared" si="2"/>
        <v>119</v>
      </c>
      <c r="B129">
        <v>2</v>
      </c>
      <c r="C129">
        <v>119</v>
      </c>
      <c r="D129" s="4" t="s">
        <v>786</v>
      </c>
      <c r="E129" t="str">
        <f>案件!$F$12</f>
        <v>2015-10-30</v>
      </c>
      <c r="F129">
        <f t="shared" si="3"/>
        <v>429000</v>
      </c>
      <c r="G129">
        <v>2</v>
      </c>
    </row>
    <row r="130" spans="1:7" x14ac:dyDescent="0.15">
      <c r="A130">
        <f t="shared" si="2"/>
        <v>120</v>
      </c>
      <c r="B130">
        <v>2</v>
      </c>
      <c r="C130">
        <v>120</v>
      </c>
      <c r="D130" s="4" t="s">
        <v>787</v>
      </c>
      <c r="E130" t="str">
        <f>案件!$F$12</f>
        <v>2015-10-30</v>
      </c>
      <c r="F130">
        <f t="shared" si="3"/>
        <v>430000</v>
      </c>
      <c r="G130">
        <v>2</v>
      </c>
    </row>
    <row r="131" spans="1:7" x14ac:dyDescent="0.15">
      <c r="A131">
        <f t="shared" si="2"/>
        <v>121</v>
      </c>
      <c r="B131">
        <v>2</v>
      </c>
      <c r="C131">
        <v>121</v>
      </c>
      <c r="D131" s="4" t="s">
        <v>788</v>
      </c>
      <c r="E131" t="str">
        <f>案件!$F$12</f>
        <v>2015-10-30</v>
      </c>
      <c r="F131">
        <f t="shared" si="3"/>
        <v>431000</v>
      </c>
      <c r="G131">
        <v>2</v>
      </c>
    </row>
    <row r="132" spans="1:7" x14ac:dyDescent="0.15">
      <c r="A132">
        <f t="shared" si="2"/>
        <v>122</v>
      </c>
      <c r="B132">
        <v>2</v>
      </c>
      <c r="C132">
        <v>122</v>
      </c>
      <c r="D132" s="4" t="s">
        <v>789</v>
      </c>
      <c r="E132" t="str">
        <f>案件!$F$12</f>
        <v>2015-10-30</v>
      </c>
      <c r="F132">
        <f t="shared" si="3"/>
        <v>432000</v>
      </c>
      <c r="G132">
        <v>2</v>
      </c>
    </row>
    <row r="133" spans="1:7" x14ac:dyDescent="0.15">
      <c r="A133">
        <f t="shared" si="2"/>
        <v>123</v>
      </c>
      <c r="B133">
        <v>2</v>
      </c>
      <c r="C133">
        <v>123</v>
      </c>
      <c r="D133" s="4" t="s">
        <v>790</v>
      </c>
      <c r="E133" t="str">
        <f>案件!$F$12</f>
        <v>2015-10-30</v>
      </c>
      <c r="F133">
        <f t="shared" si="3"/>
        <v>433000</v>
      </c>
      <c r="G133">
        <v>2</v>
      </c>
    </row>
    <row r="134" spans="1:7" x14ac:dyDescent="0.15">
      <c r="A134">
        <f t="shared" si="2"/>
        <v>124</v>
      </c>
      <c r="B134">
        <v>2</v>
      </c>
      <c r="C134">
        <v>124</v>
      </c>
      <c r="D134" s="4" t="s">
        <v>791</v>
      </c>
      <c r="E134" t="str">
        <f>案件!$F$12</f>
        <v>2015-10-30</v>
      </c>
      <c r="F134">
        <f t="shared" si="3"/>
        <v>434000</v>
      </c>
      <c r="G134">
        <v>2</v>
      </c>
    </row>
    <row r="135" spans="1:7" x14ac:dyDescent="0.15">
      <c r="A135">
        <f t="shared" si="2"/>
        <v>125</v>
      </c>
      <c r="B135">
        <v>2</v>
      </c>
      <c r="C135">
        <v>125</v>
      </c>
      <c r="D135" s="4" t="s">
        <v>792</v>
      </c>
      <c r="E135" t="str">
        <f>案件!$F$12</f>
        <v>2015-10-30</v>
      </c>
      <c r="F135">
        <f t="shared" si="3"/>
        <v>435000</v>
      </c>
      <c r="G135">
        <v>2</v>
      </c>
    </row>
    <row r="136" spans="1:7" x14ac:dyDescent="0.15">
      <c r="A136">
        <f t="shared" si="2"/>
        <v>126</v>
      </c>
      <c r="B136">
        <v>2</v>
      </c>
      <c r="C136">
        <v>126</v>
      </c>
      <c r="D136" s="4" t="s">
        <v>793</v>
      </c>
      <c r="E136" t="str">
        <f>案件!$F$12</f>
        <v>2015-10-30</v>
      </c>
      <c r="F136">
        <f t="shared" si="3"/>
        <v>436000</v>
      </c>
      <c r="G136">
        <v>2</v>
      </c>
    </row>
    <row r="137" spans="1:7" x14ac:dyDescent="0.15">
      <c r="A137">
        <f t="shared" si="2"/>
        <v>127</v>
      </c>
      <c r="B137">
        <v>2</v>
      </c>
      <c r="C137">
        <v>127</v>
      </c>
      <c r="D137" s="4" t="s">
        <v>794</v>
      </c>
      <c r="E137" t="str">
        <f>案件!$F$12</f>
        <v>2015-10-30</v>
      </c>
      <c r="F137">
        <f t="shared" si="3"/>
        <v>437000</v>
      </c>
      <c r="G137">
        <v>2</v>
      </c>
    </row>
    <row r="138" spans="1:7" x14ac:dyDescent="0.15">
      <c r="A138">
        <f t="shared" si="2"/>
        <v>128</v>
      </c>
      <c r="B138">
        <v>2</v>
      </c>
      <c r="C138">
        <v>128</v>
      </c>
      <c r="D138" s="4" t="s">
        <v>795</v>
      </c>
      <c r="E138" t="str">
        <f>案件!$F$12</f>
        <v>2015-10-30</v>
      </c>
      <c r="F138">
        <f t="shared" si="3"/>
        <v>438000</v>
      </c>
      <c r="G138">
        <v>2</v>
      </c>
    </row>
    <row r="139" spans="1:7" x14ac:dyDescent="0.15">
      <c r="A139">
        <f t="shared" si="2"/>
        <v>129</v>
      </c>
      <c r="B139">
        <v>2</v>
      </c>
      <c r="C139">
        <v>129</v>
      </c>
      <c r="D139" s="4" t="s">
        <v>796</v>
      </c>
      <c r="E139" t="str">
        <f>案件!$F$12</f>
        <v>2015-10-30</v>
      </c>
      <c r="F139">
        <f t="shared" si="3"/>
        <v>439000</v>
      </c>
      <c r="G139">
        <v>2</v>
      </c>
    </row>
    <row r="140" spans="1:7" x14ac:dyDescent="0.15">
      <c r="A140">
        <f t="shared" ref="A140:A203" si="4">ROW()-10</f>
        <v>130</v>
      </c>
      <c r="B140">
        <v>2</v>
      </c>
      <c r="C140">
        <v>130</v>
      </c>
      <c r="D140" s="4" t="s">
        <v>797</v>
      </c>
      <c r="E140" t="str">
        <f>案件!$F$12</f>
        <v>2015-10-30</v>
      </c>
      <c r="F140">
        <f t="shared" si="3"/>
        <v>440000</v>
      </c>
      <c r="G140">
        <v>2</v>
      </c>
    </row>
    <row r="141" spans="1:7" x14ac:dyDescent="0.15">
      <c r="A141">
        <f t="shared" si="4"/>
        <v>131</v>
      </c>
      <c r="B141">
        <v>2</v>
      </c>
      <c r="C141">
        <v>131</v>
      </c>
      <c r="D141" s="4" t="s">
        <v>798</v>
      </c>
      <c r="E141" t="str">
        <f>案件!$F$12</f>
        <v>2015-10-30</v>
      </c>
      <c r="F141">
        <f t="shared" ref="F141:F204" si="5">$F$11+1000*ROW()</f>
        <v>441000</v>
      </c>
      <c r="G141">
        <v>2</v>
      </c>
    </row>
    <row r="142" spans="1:7" x14ac:dyDescent="0.15">
      <c r="A142">
        <f t="shared" si="4"/>
        <v>132</v>
      </c>
      <c r="B142">
        <v>3</v>
      </c>
      <c r="C142">
        <v>132</v>
      </c>
      <c r="D142" s="4" t="s">
        <v>786</v>
      </c>
      <c r="E142" t="str">
        <f>案件!$F$13</f>
        <v>2015-11-30</v>
      </c>
      <c r="F142">
        <f t="shared" si="5"/>
        <v>442000</v>
      </c>
      <c r="G142">
        <v>2</v>
      </c>
    </row>
    <row r="143" spans="1:7" x14ac:dyDescent="0.15">
      <c r="A143">
        <f t="shared" si="4"/>
        <v>133</v>
      </c>
      <c r="B143">
        <v>3</v>
      </c>
      <c r="C143">
        <v>133</v>
      </c>
      <c r="D143" s="4" t="s">
        <v>787</v>
      </c>
      <c r="E143" t="str">
        <f>案件!$F$13</f>
        <v>2015-11-30</v>
      </c>
      <c r="F143">
        <f t="shared" si="5"/>
        <v>443000</v>
      </c>
      <c r="G143">
        <v>2</v>
      </c>
    </row>
    <row r="144" spans="1:7" x14ac:dyDescent="0.15">
      <c r="A144">
        <f t="shared" si="4"/>
        <v>134</v>
      </c>
      <c r="B144">
        <v>3</v>
      </c>
      <c r="C144">
        <v>134</v>
      </c>
      <c r="D144" s="4" t="s">
        <v>788</v>
      </c>
      <c r="E144" t="str">
        <f>案件!$F$13</f>
        <v>2015-11-30</v>
      </c>
      <c r="F144">
        <f t="shared" si="5"/>
        <v>444000</v>
      </c>
      <c r="G144">
        <v>2</v>
      </c>
    </row>
    <row r="145" spans="1:7" x14ac:dyDescent="0.15">
      <c r="A145">
        <f t="shared" si="4"/>
        <v>135</v>
      </c>
      <c r="B145">
        <v>3</v>
      </c>
      <c r="C145">
        <v>135</v>
      </c>
      <c r="D145" s="4" t="s">
        <v>789</v>
      </c>
      <c r="E145" t="str">
        <f>案件!$F$13</f>
        <v>2015-11-30</v>
      </c>
      <c r="F145">
        <f t="shared" si="5"/>
        <v>445000</v>
      </c>
      <c r="G145">
        <v>2</v>
      </c>
    </row>
    <row r="146" spans="1:7" x14ac:dyDescent="0.15">
      <c r="A146">
        <f t="shared" si="4"/>
        <v>136</v>
      </c>
      <c r="B146">
        <v>3</v>
      </c>
      <c r="C146">
        <v>136</v>
      </c>
      <c r="D146" s="4" t="s">
        <v>790</v>
      </c>
      <c r="E146" t="str">
        <f>案件!$F$13</f>
        <v>2015-11-30</v>
      </c>
      <c r="F146">
        <f t="shared" si="5"/>
        <v>446000</v>
      </c>
      <c r="G146">
        <v>2</v>
      </c>
    </row>
    <row r="147" spans="1:7" x14ac:dyDescent="0.15">
      <c r="A147">
        <f t="shared" si="4"/>
        <v>137</v>
      </c>
      <c r="B147">
        <v>3</v>
      </c>
      <c r="C147">
        <v>137</v>
      </c>
      <c r="D147" s="4" t="s">
        <v>791</v>
      </c>
      <c r="E147" t="str">
        <f>案件!$F$13</f>
        <v>2015-11-30</v>
      </c>
      <c r="F147">
        <f t="shared" si="5"/>
        <v>447000</v>
      </c>
      <c r="G147">
        <v>2</v>
      </c>
    </row>
    <row r="148" spans="1:7" x14ac:dyDescent="0.15">
      <c r="A148">
        <f t="shared" si="4"/>
        <v>138</v>
      </c>
      <c r="B148">
        <v>3</v>
      </c>
      <c r="C148">
        <v>138</v>
      </c>
      <c r="D148" s="4" t="s">
        <v>792</v>
      </c>
      <c r="E148" t="str">
        <f>案件!$F$13</f>
        <v>2015-11-30</v>
      </c>
      <c r="F148">
        <f t="shared" si="5"/>
        <v>448000</v>
      </c>
      <c r="G148">
        <v>2</v>
      </c>
    </row>
    <row r="149" spans="1:7" x14ac:dyDescent="0.15">
      <c r="A149">
        <f t="shared" si="4"/>
        <v>139</v>
      </c>
      <c r="B149">
        <v>3</v>
      </c>
      <c r="C149">
        <v>139</v>
      </c>
      <c r="D149" s="4" t="s">
        <v>793</v>
      </c>
      <c r="E149" t="str">
        <f>案件!$F$13</f>
        <v>2015-11-30</v>
      </c>
      <c r="F149">
        <f t="shared" si="5"/>
        <v>449000</v>
      </c>
      <c r="G149">
        <v>2</v>
      </c>
    </row>
    <row r="150" spans="1:7" x14ac:dyDescent="0.15">
      <c r="A150">
        <f t="shared" si="4"/>
        <v>140</v>
      </c>
      <c r="B150">
        <v>3</v>
      </c>
      <c r="C150">
        <v>140</v>
      </c>
      <c r="D150" s="4" t="s">
        <v>794</v>
      </c>
      <c r="E150" t="str">
        <f>案件!$F$13</f>
        <v>2015-11-30</v>
      </c>
      <c r="F150">
        <f t="shared" si="5"/>
        <v>450000</v>
      </c>
      <c r="G150">
        <v>2</v>
      </c>
    </row>
    <row r="151" spans="1:7" x14ac:dyDescent="0.15">
      <c r="A151">
        <f t="shared" si="4"/>
        <v>141</v>
      </c>
      <c r="B151">
        <v>3</v>
      </c>
      <c r="C151">
        <v>141</v>
      </c>
      <c r="D151" s="4" t="s">
        <v>795</v>
      </c>
      <c r="E151" t="str">
        <f>案件!$F$13</f>
        <v>2015-11-30</v>
      </c>
      <c r="F151">
        <f t="shared" si="5"/>
        <v>451000</v>
      </c>
      <c r="G151">
        <v>2</v>
      </c>
    </row>
    <row r="152" spans="1:7" x14ac:dyDescent="0.15">
      <c r="A152">
        <f t="shared" si="4"/>
        <v>142</v>
      </c>
      <c r="B152">
        <v>3</v>
      </c>
      <c r="C152">
        <v>142</v>
      </c>
      <c r="D152" s="4" t="s">
        <v>796</v>
      </c>
      <c r="E152" t="str">
        <f>案件!$F$13</f>
        <v>2015-11-30</v>
      </c>
      <c r="F152">
        <f t="shared" si="5"/>
        <v>452000</v>
      </c>
      <c r="G152">
        <v>2</v>
      </c>
    </row>
    <row r="153" spans="1:7" x14ac:dyDescent="0.15">
      <c r="A153">
        <f t="shared" si="4"/>
        <v>143</v>
      </c>
      <c r="B153">
        <v>3</v>
      </c>
      <c r="C153">
        <v>143</v>
      </c>
      <c r="D153" s="4" t="s">
        <v>797</v>
      </c>
      <c r="E153" t="str">
        <f>案件!$F$13</f>
        <v>2015-11-30</v>
      </c>
      <c r="F153">
        <f t="shared" si="5"/>
        <v>453000</v>
      </c>
      <c r="G153">
        <v>2</v>
      </c>
    </row>
    <row r="154" spans="1:7" x14ac:dyDescent="0.15">
      <c r="A154">
        <f t="shared" si="4"/>
        <v>144</v>
      </c>
      <c r="B154">
        <v>3</v>
      </c>
      <c r="C154">
        <v>144</v>
      </c>
      <c r="D154" s="4" t="s">
        <v>798</v>
      </c>
      <c r="E154" t="str">
        <f>案件!$F$13</f>
        <v>2015-11-30</v>
      </c>
      <c r="F154">
        <f t="shared" si="5"/>
        <v>454000</v>
      </c>
      <c r="G154">
        <v>2</v>
      </c>
    </row>
    <row r="155" spans="1:7" x14ac:dyDescent="0.15">
      <c r="A155">
        <f t="shared" si="4"/>
        <v>145</v>
      </c>
      <c r="B155">
        <v>3</v>
      </c>
      <c r="C155">
        <v>145</v>
      </c>
      <c r="D155" s="4" t="s">
        <v>793</v>
      </c>
      <c r="E155" t="str">
        <f>案件!$F$13</f>
        <v>2015-11-30</v>
      </c>
      <c r="F155">
        <f t="shared" si="5"/>
        <v>455000</v>
      </c>
      <c r="G155">
        <v>2</v>
      </c>
    </row>
    <row r="156" spans="1:7" x14ac:dyDescent="0.15">
      <c r="A156">
        <f t="shared" si="4"/>
        <v>146</v>
      </c>
      <c r="B156">
        <v>3</v>
      </c>
      <c r="C156">
        <v>146</v>
      </c>
      <c r="D156" s="4" t="s">
        <v>794</v>
      </c>
      <c r="E156" t="str">
        <f>案件!$F$13</f>
        <v>2015-11-30</v>
      </c>
      <c r="F156">
        <f t="shared" si="5"/>
        <v>456000</v>
      </c>
      <c r="G156">
        <v>2</v>
      </c>
    </row>
    <row r="157" spans="1:7" x14ac:dyDescent="0.15">
      <c r="A157">
        <f t="shared" si="4"/>
        <v>147</v>
      </c>
      <c r="B157">
        <v>3</v>
      </c>
      <c r="C157">
        <v>147</v>
      </c>
      <c r="D157" s="4" t="s">
        <v>795</v>
      </c>
      <c r="E157" t="str">
        <f>案件!$F$13</f>
        <v>2015-11-30</v>
      </c>
      <c r="F157">
        <f t="shared" si="5"/>
        <v>457000</v>
      </c>
      <c r="G157">
        <v>2</v>
      </c>
    </row>
    <row r="158" spans="1:7" x14ac:dyDescent="0.15">
      <c r="A158">
        <f t="shared" si="4"/>
        <v>148</v>
      </c>
      <c r="B158">
        <v>3</v>
      </c>
      <c r="C158">
        <v>148</v>
      </c>
      <c r="D158" s="4" t="s">
        <v>796</v>
      </c>
      <c r="E158" t="str">
        <f>案件!$F$13</f>
        <v>2015-11-30</v>
      </c>
      <c r="F158">
        <f t="shared" si="5"/>
        <v>458000</v>
      </c>
      <c r="G158">
        <v>2</v>
      </c>
    </row>
    <row r="159" spans="1:7" x14ac:dyDescent="0.15">
      <c r="A159">
        <f t="shared" si="4"/>
        <v>149</v>
      </c>
      <c r="B159">
        <v>4</v>
      </c>
      <c r="C159">
        <v>149</v>
      </c>
      <c r="D159" s="4" t="s">
        <v>791</v>
      </c>
      <c r="E159" t="str">
        <f>GetCurrentMonthEnd(3)</f>
        <v>2015-12-30</v>
      </c>
      <c r="F159">
        <f t="shared" si="5"/>
        <v>459000</v>
      </c>
      <c r="G159">
        <v>2</v>
      </c>
    </row>
    <row r="160" spans="1:7" x14ac:dyDescent="0.15">
      <c r="A160">
        <f t="shared" si="4"/>
        <v>150</v>
      </c>
      <c r="B160">
        <v>4</v>
      </c>
      <c r="C160">
        <v>150</v>
      </c>
      <c r="D160" s="4" t="s">
        <v>792</v>
      </c>
      <c r="E160" t="str">
        <f t="shared" ref="E160:E183" si="6">GetCurrentMonthEnd(3)</f>
        <v>2015-12-30</v>
      </c>
      <c r="F160">
        <f t="shared" si="5"/>
        <v>460000</v>
      </c>
      <c r="G160">
        <v>2</v>
      </c>
    </row>
    <row r="161" spans="1:7" x14ac:dyDescent="0.15">
      <c r="A161">
        <f t="shared" si="4"/>
        <v>151</v>
      </c>
      <c r="B161">
        <v>4</v>
      </c>
      <c r="C161">
        <v>151</v>
      </c>
      <c r="D161" s="4" t="s">
        <v>793</v>
      </c>
      <c r="E161" t="str">
        <f t="shared" si="6"/>
        <v>2015-12-30</v>
      </c>
      <c r="F161">
        <f t="shared" si="5"/>
        <v>461000</v>
      </c>
      <c r="G161">
        <v>2</v>
      </c>
    </row>
    <row r="162" spans="1:7" x14ac:dyDescent="0.15">
      <c r="A162">
        <f t="shared" si="4"/>
        <v>152</v>
      </c>
      <c r="B162">
        <v>4</v>
      </c>
      <c r="C162">
        <v>152</v>
      </c>
      <c r="D162" s="4" t="s">
        <v>794</v>
      </c>
      <c r="E162" t="str">
        <f t="shared" si="6"/>
        <v>2015-12-30</v>
      </c>
      <c r="F162">
        <f t="shared" si="5"/>
        <v>462000</v>
      </c>
      <c r="G162">
        <v>2</v>
      </c>
    </row>
    <row r="163" spans="1:7" x14ac:dyDescent="0.15">
      <c r="A163">
        <f t="shared" si="4"/>
        <v>153</v>
      </c>
      <c r="B163">
        <v>4</v>
      </c>
      <c r="C163">
        <v>153</v>
      </c>
      <c r="D163" s="4" t="s">
        <v>795</v>
      </c>
      <c r="E163" t="str">
        <f t="shared" si="6"/>
        <v>2015-12-30</v>
      </c>
      <c r="F163">
        <f t="shared" si="5"/>
        <v>463000</v>
      </c>
      <c r="G163">
        <v>2</v>
      </c>
    </row>
    <row r="164" spans="1:7" x14ac:dyDescent="0.15">
      <c r="A164">
        <f t="shared" si="4"/>
        <v>154</v>
      </c>
      <c r="B164">
        <v>4</v>
      </c>
      <c r="C164">
        <v>154</v>
      </c>
      <c r="D164" s="4" t="s">
        <v>796</v>
      </c>
      <c r="E164" t="str">
        <f t="shared" si="6"/>
        <v>2015-12-30</v>
      </c>
      <c r="F164">
        <f t="shared" si="5"/>
        <v>464000</v>
      </c>
      <c r="G164">
        <v>2</v>
      </c>
    </row>
    <row r="165" spans="1:7" x14ac:dyDescent="0.15">
      <c r="A165">
        <f t="shared" si="4"/>
        <v>155</v>
      </c>
      <c r="B165">
        <v>4</v>
      </c>
      <c r="C165">
        <v>155</v>
      </c>
      <c r="D165" s="4" t="s">
        <v>797</v>
      </c>
      <c r="E165" t="str">
        <f t="shared" si="6"/>
        <v>2015-12-30</v>
      </c>
      <c r="F165">
        <f t="shared" si="5"/>
        <v>465000</v>
      </c>
      <c r="G165">
        <v>2</v>
      </c>
    </row>
    <row r="166" spans="1:7" x14ac:dyDescent="0.15">
      <c r="A166">
        <f t="shared" si="4"/>
        <v>156</v>
      </c>
      <c r="B166">
        <v>4</v>
      </c>
      <c r="C166">
        <v>156</v>
      </c>
      <c r="D166" s="4" t="s">
        <v>798</v>
      </c>
      <c r="E166" t="str">
        <f t="shared" si="6"/>
        <v>2015-12-30</v>
      </c>
      <c r="F166">
        <f t="shared" si="5"/>
        <v>466000</v>
      </c>
      <c r="G166">
        <v>2</v>
      </c>
    </row>
    <row r="167" spans="1:7" x14ac:dyDescent="0.15">
      <c r="A167">
        <f t="shared" si="4"/>
        <v>157</v>
      </c>
      <c r="B167">
        <v>4</v>
      </c>
      <c r="C167">
        <v>157</v>
      </c>
      <c r="D167" s="4" t="s">
        <v>786</v>
      </c>
      <c r="E167" t="str">
        <f t="shared" si="6"/>
        <v>2015-12-30</v>
      </c>
      <c r="F167">
        <f t="shared" si="5"/>
        <v>467000</v>
      </c>
      <c r="G167">
        <v>2</v>
      </c>
    </row>
    <row r="168" spans="1:7" x14ac:dyDescent="0.15">
      <c r="A168">
        <f t="shared" si="4"/>
        <v>158</v>
      </c>
      <c r="B168">
        <v>4</v>
      </c>
      <c r="C168">
        <v>158</v>
      </c>
      <c r="D168" s="4" t="s">
        <v>787</v>
      </c>
      <c r="E168" t="str">
        <f t="shared" si="6"/>
        <v>2015-12-30</v>
      </c>
      <c r="F168">
        <f t="shared" si="5"/>
        <v>468000</v>
      </c>
      <c r="G168">
        <v>2</v>
      </c>
    </row>
    <row r="169" spans="1:7" x14ac:dyDescent="0.15">
      <c r="A169">
        <f t="shared" si="4"/>
        <v>159</v>
      </c>
      <c r="B169">
        <v>4</v>
      </c>
      <c r="C169">
        <v>159</v>
      </c>
      <c r="D169" s="4" t="s">
        <v>788</v>
      </c>
      <c r="E169" t="str">
        <f t="shared" si="6"/>
        <v>2015-12-30</v>
      </c>
      <c r="F169">
        <f t="shared" si="5"/>
        <v>469000</v>
      </c>
      <c r="G169">
        <v>2</v>
      </c>
    </row>
    <row r="170" spans="1:7" x14ac:dyDescent="0.15">
      <c r="A170">
        <f t="shared" si="4"/>
        <v>160</v>
      </c>
      <c r="B170">
        <v>4</v>
      </c>
      <c r="C170">
        <v>160</v>
      </c>
      <c r="D170" s="4" t="s">
        <v>789</v>
      </c>
      <c r="E170" t="str">
        <f t="shared" si="6"/>
        <v>2015-12-30</v>
      </c>
      <c r="F170">
        <f t="shared" si="5"/>
        <v>470000</v>
      </c>
      <c r="G170">
        <v>2</v>
      </c>
    </row>
    <row r="171" spans="1:7" x14ac:dyDescent="0.15">
      <c r="A171">
        <f t="shared" si="4"/>
        <v>161</v>
      </c>
      <c r="B171">
        <v>4</v>
      </c>
      <c r="C171">
        <v>161</v>
      </c>
      <c r="D171" s="4" t="s">
        <v>790</v>
      </c>
      <c r="E171" t="str">
        <f t="shared" si="6"/>
        <v>2015-12-30</v>
      </c>
      <c r="F171">
        <f t="shared" si="5"/>
        <v>471000</v>
      </c>
      <c r="G171">
        <v>2</v>
      </c>
    </row>
    <row r="172" spans="1:7" x14ac:dyDescent="0.15">
      <c r="A172">
        <f t="shared" si="4"/>
        <v>162</v>
      </c>
      <c r="B172">
        <v>4</v>
      </c>
      <c r="C172">
        <v>162</v>
      </c>
      <c r="D172" s="4" t="s">
        <v>791</v>
      </c>
      <c r="E172" t="str">
        <f t="shared" si="6"/>
        <v>2015-12-30</v>
      </c>
      <c r="F172">
        <f t="shared" si="5"/>
        <v>472000</v>
      </c>
      <c r="G172">
        <v>2</v>
      </c>
    </row>
    <row r="173" spans="1:7" x14ac:dyDescent="0.15">
      <c r="A173">
        <f t="shared" si="4"/>
        <v>163</v>
      </c>
      <c r="B173">
        <v>4</v>
      </c>
      <c r="C173">
        <v>163</v>
      </c>
      <c r="D173" s="4" t="s">
        <v>792</v>
      </c>
      <c r="E173" t="str">
        <f t="shared" si="6"/>
        <v>2015-12-30</v>
      </c>
      <c r="F173">
        <f t="shared" si="5"/>
        <v>473000</v>
      </c>
      <c r="G173">
        <v>2</v>
      </c>
    </row>
    <row r="174" spans="1:7" x14ac:dyDescent="0.15">
      <c r="A174">
        <f t="shared" si="4"/>
        <v>164</v>
      </c>
      <c r="B174">
        <v>4</v>
      </c>
      <c r="C174">
        <v>164</v>
      </c>
      <c r="D174" s="4" t="s">
        <v>793</v>
      </c>
      <c r="E174" t="str">
        <f t="shared" si="6"/>
        <v>2015-12-30</v>
      </c>
      <c r="F174">
        <f t="shared" si="5"/>
        <v>474000</v>
      </c>
      <c r="G174">
        <v>2</v>
      </c>
    </row>
    <row r="175" spans="1:7" x14ac:dyDescent="0.15">
      <c r="A175">
        <f t="shared" si="4"/>
        <v>165</v>
      </c>
      <c r="B175">
        <v>4</v>
      </c>
      <c r="C175">
        <v>165</v>
      </c>
      <c r="D175" s="4" t="s">
        <v>794</v>
      </c>
      <c r="E175" t="str">
        <f t="shared" si="6"/>
        <v>2015-12-30</v>
      </c>
      <c r="F175">
        <f t="shared" si="5"/>
        <v>475000</v>
      </c>
      <c r="G175">
        <v>2</v>
      </c>
    </row>
    <row r="176" spans="1:7" x14ac:dyDescent="0.15">
      <c r="A176">
        <f t="shared" si="4"/>
        <v>166</v>
      </c>
      <c r="B176">
        <v>4</v>
      </c>
      <c r="C176">
        <v>166</v>
      </c>
      <c r="D176" s="4" t="s">
        <v>795</v>
      </c>
      <c r="E176" t="str">
        <f t="shared" si="6"/>
        <v>2015-12-30</v>
      </c>
      <c r="F176">
        <f t="shared" si="5"/>
        <v>476000</v>
      </c>
      <c r="G176">
        <v>2</v>
      </c>
    </row>
    <row r="177" spans="1:7" x14ac:dyDescent="0.15">
      <c r="A177">
        <f t="shared" si="4"/>
        <v>167</v>
      </c>
      <c r="B177">
        <v>4</v>
      </c>
      <c r="C177">
        <v>167</v>
      </c>
      <c r="D177" s="4" t="s">
        <v>796</v>
      </c>
      <c r="E177" t="str">
        <f t="shared" si="6"/>
        <v>2015-12-30</v>
      </c>
      <c r="F177">
        <f t="shared" si="5"/>
        <v>477000</v>
      </c>
      <c r="G177">
        <v>2</v>
      </c>
    </row>
    <row r="178" spans="1:7" x14ac:dyDescent="0.15">
      <c r="A178">
        <f t="shared" si="4"/>
        <v>168</v>
      </c>
      <c r="B178">
        <v>4</v>
      </c>
      <c r="C178">
        <v>168</v>
      </c>
      <c r="D178" s="4" t="s">
        <v>797</v>
      </c>
      <c r="E178" t="str">
        <f t="shared" si="6"/>
        <v>2015-12-30</v>
      </c>
      <c r="F178">
        <f t="shared" si="5"/>
        <v>478000</v>
      </c>
      <c r="G178">
        <v>2</v>
      </c>
    </row>
    <row r="179" spans="1:7" x14ac:dyDescent="0.15">
      <c r="A179">
        <f t="shared" si="4"/>
        <v>169</v>
      </c>
      <c r="B179">
        <v>4</v>
      </c>
      <c r="C179">
        <v>169</v>
      </c>
      <c r="D179" s="4" t="s">
        <v>798</v>
      </c>
      <c r="E179" t="str">
        <f t="shared" si="6"/>
        <v>2015-12-30</v>
      </c>
      <c r="F179">
        <f t="shared" si="5"/>
        <v>479000</v>
      </c>
      <c r="G179">
        <v>2</v>
      </c>
    </row>
    <row r="180" spans="1:7" x14ac:dyDescent="0.15">
      <c r="A180">
        <f t="shared" si="4"/>
        <v>170</v>
      </c>
      <c r="B180">
        <v>4</v>
      </c>
      <c r="C180">
        <v>170</v>
      </c>
      <c r="D180" s="4" t="s">
        <v>793</v>
      </c>
      <c r="E180" t="str">
        <f t="shared" si="6"/>
        <v>2015-12-30</v>
      </c>
      <c r="F180">
        <f t="shared" si="5"/>
        <v>480000</v>
      </c>
      <c r="G180">
        <v>2</v>
      </c>
    </row>
    <row r="181" spans="1:7" x14ac:dyDescent="0.15">
      <c r="A181">
        <f t="shared" si="4"/>
        <v>171</v>
      </c>
      <c r="B181">
        <v>4</v>
      </c>
      <c r="C181">
        <v>171</v>
      </c>
      <c r="D181" s="4" t="s">
        <v>794</v>
      </c>
      <c r="E181" t="str">
        <f t="shared" si="6"/>
        <v>2015-12-30</v>
      </c>
      <c r="F181">
        <f t="shared" si="5"/>
        <v>481000</v>
      </c>
      <c r="G181">
        <v>2</v>
      </c>
    </row>
    <row r="182" spans="1:7" x14ac:dyDescent="0.15">
      <c r="A182">
        <f t="shared" si="4"/>
        <v>172</v>
      </c>
      <c r="B182">
        <v>4</v>
      </c>
      <c r="C182">
        <v>172</v>
      </c>
      <c r="D182" s="4" t="s">
        <v>795</v>
      </c>
      <c r="E182" t="str">
        <f t="shared" si="6"/>
        <v>2015-12-30</v>
      </c>
      <c r="F182">
        <f t="shared" si="5"/>
        <v>482000</v>
      </c>
      <c r="G182">
        <v>2</v>
      </c>
    </row>
    <row r="183" spans="1:7" x14ac:dyDescent="0.15">
      <c r="A183">
        <f t="shared" si="4"/>
        <v>173</v>
      </c>
      <c r="B183">
        <v>4</v>
      </c>
      <c r="C183">
        <v>173</v>
      </c>
      <c r="D183" s="4" t="s">
        <v>796</v>
      </c>
      <c r="E183" t="str">
        <f t="shared" si="6"/>
        <v>2015-12-30</v>
      </c>
      <c r="F183">
        <f t="shared" si="5"/>
        <v>483000</v>
      </c>
      <c r="G183">
        <v>2</v>
      </c>
    </row>
    <row r="184" spans="1:7" x14ac:dyDescent="0.15">
      <c r="A184">
        <f t="shared" si="4"/>
        <v>174</v>
      </c>
      <c r="B184">
        <v>4</v>
      </c>
      <c r="C184">
        <v>174</v>
      </c>
      <c r="D184" s="4" t="s">
        <v>796</v>
      </c>
      <c r="E184" t="str">
        <f>案件!$F$14</f>
        <v>2016-09-30</v>
      </c>
      <c r="F184">
        <f t="shared" si="5"/>
        <v>484000</v>
      </c>
      <c r="G184">
        <v>2</v>
      </c>
    </row>
    <row r="185" spans="1:7" x14ac:dyDescent="0.15">
      <c r="A185">
        <f t="shared" si="4"/>
        <v>175</v>
      </c>
      <c r="B185">
        <v>4</v>
      </c>
      <c r="C185">
        <v>175</v>
      </c>
      <c r="D185" s="4" t="s">
        <v>796</v>
      </c>
      <c r="E185" t="str">
        <f>案件!$F$14</f>
        <v>2016-09-30</v>
      </c>
      <c r="F185">
        <f t="shared" si="5"/>
        <v>485000</v>
      </c>
      <c r="G185">
        <v>2</v>
      </c>
    </row>
    <row r="186" spans="1:7" x14ac:dyDescent="0.15">
      <c r="A186">
        <f t="shared" si="4"/>
        <v>176</v>
      </c>
      <c r="B186">
        <v>4</v>
      </c>
      <c r="C186">
        <v>176</v>
      </c>
      <c r="D186" s="4" t="s">
        <v>796</v>
      </c>
      <c r="E186" t="str">
        <f>案件!$F$14</f>
        <v>2016-09-30</v>
      </c>
      <c r="F186">
        <f t="shared" si="5"/>
        <v>486000</v>
      </c>
      <c r="G186">
        <v>2</v>
      </c>
    </row>
    <row r="187" spans="1:7" x14ac:dyDescent="0.15">
      <c r="A187">
        <f t="shared" si="4"/>
        <v>177</v>
      </c>
      <c r="B187">
        <v>4</v>
      </c>
      <c r="C187">
        <v>177</v>
      </c>
      <c r="D187" s="4" t="s">
        <v>796</v>
      </c>
      <c r="E187" t="str">
        <f>案件!$F$14</f>
        <v>2016-09-30</v>
      </c>
      <c r="F187">
        <f t="shared" si="5"/>
        <v>487000</v>
      </c>
      <c r="G187">
        <v>2</v>
      </c>
    </row>
    <row r="188" spans="1:7" x14ac:dyDescent="0.15">
      <c r="A188">
        <f t="shared" si="4"/>
        <v>178</v>
      </c>
      <c r="B188">
        <v>4</v>
      </c>
      <c r="C188">
        <v>178</v>
      </c>
      <c r="D188" s="4" t="s">
        <v>796</v>
      </c>
      <c r="E188" t="str">
        <f>案件!$F$14</f>
        <v>2016-09-30</v>
      </c>
      <c r="F188">
        <f t="shared" si="5"/>
        <v>488000</v>
      </c>
      <c r="G188">
        <v>2</v>
      </c>
    </row>
    <row r="189" spans="1:7" x14ac:dyDescent="0.15">
      <c r="A189">
        <f t="shared" si="4"/>
        <v>179</v>
      </c>
      <c r="B189">
        <v>4</v>
      </c>
      <c r="C189">
        <v>179</v>
      </c>
      <c r="D189" s="4" t="s">
        <v>796</v>
      </c>
      <c r="E189" t="str">
        <f>案件!$F$14</f>
        <v>2016-09-30</v>
      </c>
      <c r="F189">
        <f t="shared" si="5"/>
        <v>489000</v>
      </c>
      <c r="G189">
        <v>2</v>
      </c>
    </row>
    <row r="190" spans="1:7" x14ac:dyDescent="0.15">
      <c r="A190">
        <f t="shared" si="4"/>
        <v>180</v>
      </c>
      <c r="B190">
        <v>4</v>
      </c>
      <c r="C190">
        <v>180</v>
      </c>
      <c r="D190" s="4" t="s">
        <v>796</v>
      </c>
      <c r="E190" t="str">
        <f>案件!$F$14</f>
        <v>2016-09-30</v>
      </c>
      <c r="F190">
        <f t="shared" si="5"/>
        <v>490000</v>
      </c>
      <c r="G190">
        <v>2</v>
      </c>
    </row>
    <row r="191" spans="1:7" x14ac:dyDescent="0.15">
      <c r="A191">
        <f t="shared" si="4"/>
        <v>181</v>
      </c>
      <c r="B191">
        <v>4</v>
      </c>
      <c r="C191">
        <v>181</v>
      </c>
      <c r="D191" s="4" t="s">
        <v>796</v>
      </c>
      <c r="E191" t="str">
        <f>案件!$F$14</f>
        <v>2016-09-30</v>
      </c>
      <c r="F191">
        <f t="shared" si="5"/>
        <v>491000</v>
      </c>
      <c r="G191">
        <v>2</v>
      </c>
    </row>
    <row r="192" spans="1:7" x14ac:dyDescent="0.15">
      <c r="A192">
        <f t="shared" si="4"/>
        <v>182</v>
      </c>
      <c r="B192">
        <v>4</v>
      </c>
      <c r="C192">
        <v>182</v>
      </c>
      <c r="D192" s="4" t="s">
        <v>796</v>
      </c>
      <c r="E192" t="str">
        <f>案件!$F$14</f>
        <v>2016-09-30</v>
      </c>
      <c r="F192">
        <f t="shared" si="5"/>
        <v>492000</v>
      </c>
      <c r="G192">
        <v>2</v>
      </c>
    </row>
    <row r="193" spans="1:7" x14ac:dyDescent="0.15">
      <c r="A193">
        <f t="shared" si="4"/>
        <v>183</v>
      </c>
      <c r="B193">
        <v>4</v>
      </c>
      <c r="C193">
        <v>183</v>
      </c>
      <c r="D193" s="4" t="s">
        <v>796</v>
      </c>
      <c r="E193" t="str">
        <f>案件!$F$14</f>
        <v>2016-09-30</v>
      </c>
      <c r="F193">
        <f t="shared" si="5"/>
        <v>493000</v>
      </c>
      <c r="G193">
        <v>2</v>
      </c>
    </row>
    <row r="194" spans="1:7" x14ac:dyDescent="0.15">
      <c r="A194">
        <f t="shared" si="4"/>
        <v>184</v>
      </c>
      <c r="B194">
        <v>4</v>
      </c>
      <c r="C194">
        <v>184</v>
      </c>
      <c r="D194" s="4" t="s">
        <v>796</v>
      </c>
      <c r="E194" t="str">
        <f>案件!$F$14</f>
        <v>2016-09-30</v>
      </c>
      <c r="F194">
        <f t="shared" si="5"/>
        <v>494000</v>
      </c>
      <c r="G194">
        <v>2</v>
      </c>
    </row>
    <row r="195" spans="1:7" x14ac:dyDescent="0.15">
      <c r="A195">
        <f t="shared" si="4"/>
        <v>185</v>
      </c>
      <c r="B195">
        <v>4</v>
      </c>
      <c r="C195">
        <v>185</v>
      </c>
      <c r="D195" s="4" t="s">
        <v>796</v>
      </c>
      <c r="E195" t="str">
        <f>案件!$F$14</f>
        <v>2016-09-30</v>
      </c>
      <c r="F195">
        <f t="shared" si="5"/>
        <v>495000</v>
      </c>
      <c r="G195">
        <v>2</v>
      </c>
    </row>
    <row r="196" spans="1:7" x14ac:dyDescent="0.15">
      <c r="A196">
        <f t="shared" si="4"/>
        <v>186</v>
      </c>
      <c r="B196">
        <v>4</v>
      </c>
      <c r="C196">
        <v>186</v>
      </c>
      <c r="D196" s="4" t="s">
        <v>796</v>
      </c>
      <c r="E196" t="str">
        <f>案件!$F$14</f>
        <v>2016-09-30</v>
      </c>
      <c r="F196">
        <f t="shared" si="5"/>
        <v>496000</v>
      </c>
      <c r="G196">
        <v>2</v>
      </c>
    </row>
    <row r="197" spans="1:7" x14ac:dyDescent="0.15">
      <c r="A197">
        <f t="shared" si="4"/>
        <v>187</v>
      </c>
      <c r="B197">
        <v>4</v>
      </c>
      <c r="C197">
        <v>187</v>
      </c>
      <c r="D197" s="4" t="s">
        <v>796</v>
      </c>
      <c r="E197" t="str">
        <f>案件!$F$14</f>
        <v>2016-09-30</v>
      </c>
      <c r="F197">
        <f t="shared" si="5"/>
        <v>497000</v>
      </c>
      <c r="G197">
        <v>2</v>
      </c>
    </row>
    <row r="198" spans="1:7" x14ac:dyDescent="0.15">
      <c r="A198">
        <f t="shared" si="4"/>
        <v>188</v>
      </c>
      <c r="B198">
        <v>4</v>
      </c>
      <c r="C198">
        <v>188</v>
      </c>
      <c r="D198" s="4" t="s">
        <v>796</v>
      </c>
      <c r="E198" t="str">
        <f>案件!$F$14</f>
        <v>2016-09-30</v>
      </c>
      <c r="F198">
        <f t="shared" si="5"/>
        <v>498000</v>
      </c>
      <c r="G198">
        <v>2</v>
      </c>
    </row>
    <row r="199" spans="1:7" x14ac:dyDescent="0.15">
      <c r="A199">
        <f t="shared" si="4"/>
        <v>189</v>
      </c>
      <c r="B199">
        <v>4</v>
      </c>
      <c r="C199">
        <v>189</v>
      </c>
      <c r="D199" s="4" t="s">
        <v>796</v>
      </c>
      <c r="E199" t="str">
        <f>案件!$F$14</f>
        <v>2016-09-30</v>
      </c>
      <c r="F199">
        <f t="shared" si="5"/>
        <v>499000</v>
      </c>
      <c r="G199">
        <v>2</v>
      </c>
    </row>
    <row r="200" spans="1:7" x14ac:dyDescent="0.15">
      <c r="A200">
        <f t="shared" si="4"/>
        <v>190</v>
      </c>
      <c r="B200">
        <v>4</v>
      </c>
      <c r="C200">
        <v>190</v>
      </c>
      <c r="D200" s="4" t="s">
        <v>796</v>
      </c>
      <c r="E200" t="str">
        <f>案件!$F$14</f>
        <v>2016-09-30</v>
      </c>
      <c r="F200">
        <f t="shared" si="5"/>
        <v>500000</v>
      </c>
      <c r="G200">
        <v>2</v>
      </c>
    </row>
    <row r="201" spans="1:7" x14ac:dyDescent="0.15">
      <c r="A201">
        <f t="shared" si="4"/>
        <v>191</v>
      </c>
      <c r="B201">
        <v>4</v>
      </c>
      <c r="C201">
        <v>191</v>
      </c>
      <c r="D201" s="4" t="s">
        <v>796</v>
      </c>
      <c r="E201" t="str">
        <f>案件!$F$14</f>
        <v>2016-09-30</v>
      </c>
      <c r="F201">
        <f t="shared" si="5"/>
        <v>501000</v>
      </c>
      <c r="G201">
        <v>2</v>
      </c>
    </row>
    <row r="202" spans="1:7" x14ac:dyDescent="0.15">
      <c r="A202">
        <f t="shared" si="4"/>
        <v>192</v>
      </c>
      <c r="B202">
        <v>4</v>
      </c>
      <c r="C202">
        <v>192</v>
      </c>
      <c r="D202" s="4" t="s">
        <v>796</v>
      </c>
      <c r="E202" t="str">
        <f>案件!$F$14</f>
        <v>2016-09-30</v>
      </c>
      <c r="F202">
        <f t="shared" si="5"/>
        <v>502000</v>
      </c>
      <c r="G202">
        <v>2</v>
      </c>
    </row>
    <row r="203" spans="1:7" x14ac:dyDescent="0.15">
      <c r="A203">
        <f t="shared" si="4"/>
        <v>193</v>
      </c>
      <c r="B203">
        <v>4</v>
      </c>
      <c r="C203">
        <v>193</v>
      </c>
      <c r="D203" s="4" t="s">
        <v>796</v>
      </c>
      <c r="E203" t="str">
        <f>案件!$F$14</f>
        <v>2016-09-30</v>
      </c>
      <c r="F203">
        <f t="shared" si="5"/>
        <v>503000</v>
      </c>
      <c r="G203">
        <v>2</v>
      </c>
    </row>
    <row r="204" spans="1:7" x14ac:dyDescent="0.15">
      <c r="A204">
        <f t="shared" ref="A204:A267" si="7">ROW()-10</f>
        <v>194</v>
      </c>
      <c r="B204">
        <v>4</v>
      </c>
      <c r="C204">
        <v>194</v>
      </c>
      <c r="D204" s="4" t="s">
        <v>796</v>
      </c>
      <c r="E204" t="str">
        <f>案件!$F$14</f>
        <v>2016-09-30</v>
      </c>
      <c r="F204">
        <f t="shared" si="5"/>
        <v>504000</v>
      </c>
      <c r="G204">
        <v>2</v>
      </c>
    </row>
    <row r="205" spans="1:7" x14ac:dyDescent="0.15">
      <c r="A205">
        <f t="shared" si="7"/>
        <v>195</v>
      </c>
      <c r="B205">
        <v>4</v>
      </c>
      <c r="C205">
        <v>195</v>
      </c>
      <c r="D205" s="4" t="s">
        <v>796</v>
      </c>
      <c r="E205" t="str">
        <f>案件!$F$14</f>
        <v>2016-09-30</v>
      </c>
      <c r="F205">
        <f t="shared" ref="F205:F268" si="8">$F$11+1000*ROW()</f>
        <v>505000</v>
      </c>
      <c r="G205">
        <v>2</v>
      </c>
    </row>
    <row r="206" spans="1:7" x14ac:dyDescent="0.15">
      <c r="A206">
        <f t="shared" si="7"/>
        <v>196</v>
      </c>
      <c r="B206">
        <v>4</v>
      </c>
      <c r="C206">
        <v>196</v>
      </c>
      <c r="D206" s="4" t="s">
        <v>796</v>
      </c>
      <c r="E206" t="str">
        <f>案件!$F$14</f>
        <v>2016-09-30</v>
      </c>
      <c r="F206">
        <f t="shared" si="8"/>
        <v>506000</v>
      </c>
      <c r="G206">
        <v>2</v>
      </c>
    </row>
    <row r="207" spans="1:7" x14ac:dyDescent="0.15">
      <c r="A207">
        <f t="shared" si="7"/>
        <v>197</v>
      </c>
      <c r="B207">
        <v>4</v>
      </c>
      <c r="C207">
        <v>197</v>
      </c>
      <c r="D207" s="4" t="s">
        <v>796</v>
      </c>
      <c r="E207" t="str">
        <f>案件!$F$14</f>
        <v>2016-09-30</v>
      </c>
      <c r="F207">
        <f t="shared" si="8"/>
        <v>507000</v>
      </c>
      <c r="G207">
        <v>2</v>
      </c>
    </row>
    <row r="208" spans="1:7" x14ac:dyDescent="0.15">
      <c r="A208">
        <f t="shared" si="7"/>
        <v>198</v>
      </c>
      <c r="B208">
        <v>4</v>
      </c>
      <c r="C208">
        <v>198</v>
      </c>
      <c r="D208" s="4" t="s">
        <v>796</v>
      </c>
      <c r="E208" t="str">
        <f>案件!$F$14</f>
        <v>2016-09-30</v>
      </c>
      <c r="F208">
        <f t="shared" si="8"/>
        <v>508000</v>
      </c>
      <c r="G208">
        <v>2</v>
      </c>
    </row>
    <row r="209" spans="1:7" x14ac:dyDescent="0.15">
      <c r="A209">
        <f t="shared" si="7"/>
        <v>199</v>
      </c>
      <c r="B209">
        <v>4</v>
      </c>
      <c r="C209">
        <v>199</v>
      </c>
      <c r="D209" s="4" t="s">
        <v>796</v>
      </c>
      <c r="E209" t="str">
        <f>案件!$F$14</f>
        <v>2016-09-30</v>
      </c>
      <c r="F209">
        <f t="shared" si="8"/>
        <v>509000</v>
      </c>
      <c r="G209">
        <v>2</v>
      </c>
    </row>
    <row r="210" spans="1:7" x14ac:dyDescent="0.15">
      <c r="A210">
        <f t="shared" si="7"/>
        <v>200</v>
      </c>
      <c r="B210">
        <v>4</v>
      </c>
      <c r="C210">
        <v>200</v>
      </c>
      <c r="D210" s="4" t="s">
        <v>796</v>
      </c>
      <c r="E210" t="str">
        <f>案件!$F$14</f>
        <v>2016-09-30</v>
      </c>
      <c r="F210">
        <f t="shared" si="8"/>
        <v>510000</v>
      </c>
      <c r="G210">
        <v>2</v>
      </c>
    </row>
    <row r="211" spans="1:7" x14ac:dyDescent="0.15">
      <c r="A211">
        <f t="shared" si="7"/>
        <v>201</v>
      </c>
      <c r="B211">
        <v>4</v>
      </c>
      <c r="C211">
        <v>201</v>
      </c>
      <c r="D211" s="4" t="s">
        <v>796</v>
      </c>
      <c r="E211" t="str">
        <f>案件!$F$14</f>
        <v>2016-09-30</v>
      </c>
      <c r="F211">
        <f t="shared" si="8"/>
        <v>511000</v>
      </c>
      <c r="G211">
        <v>2</v>
      </c>
    </row>
    <row r="212" spans="1:7" x14ac:dyDescent="0.15">
      <c r="A212">
        <f t="shared" si="7"/>
        <v>202</v>
      </c>
      <c r="B212">
        <v>4</v>
      </c>
      <c r="C212">
        <v>202</v>
      </c>
      <c r="D212" s="4" t="s">
        <v>796</v>
      </c>
      <c r="E212" t="str">
        <f>案件!$F$14</f>
        <v>2016-09-30</v>
      </c>
      <c r="F212">
        <f t="shared" si="8"/>
        <v>512000</v>
      </c>
      <c r="G212">
        <v>2</v>
      </c>
    </row>
    <row r="213" spans="1:7" x14ac:dyDescent="0.15">
      <c r="A213">
        <f t="shared" si="7"/>
        <v>203</v>
      </c>
      <c r="B213">
        <v>4</v>
      </c>
      <c r="C213">
        <v>203</v>
      </c>
      <c r="D213" s="4" t="s">
        <v>796</v>
      </c>
      <c r="E213" t="str">
        <f>案件!$F$14</f>
        <v>2016-09-30</v>
      </c>
      <c r="F213">
        <f t="shared" si="8"/>
        <v>513000</v>
      </c>
      <c r="G213">
        <v>2</v>
      </c>
    </row>
    <row r="214" spans="1:7" x14ac:dyDescent="0.15">
      <c r="A214">
        <f t="shared" si="7"/>
        <v>204</v>
      </c>
      <c r="B214">
        <v>4</v>
      </c>
      <c r="C214">
        <v>204</v>
      </c>
      <c r="D214" s="4" t="s">
        <v>796</v>
      </c>
      <c r="E214" t="str">
        <f>案件!$F$14</f>
        <v>2016-09-30</v>
      </c>
      <c r="F214">
        <f t="shared" si="8"/>
        <v>514000</v>
      </c>
      <c r="G214">
        <v>2</v>
      </c>
    </row>
    <row r="215" spans="1:7" x14ac:dyDescent="0.15">
      <c r="A215">
        <f t="shared" si="7"/>
        <v>205</v>
      </c>
      <c r="B215">
        <v>4</v>
      </c>
      <c r="C215">
        <v>205</v>
      </c>
      <c r="D215" s="4" t="s">
        <v>796</v>
      </c>
      <c r="E215" t="str">
        <f>案件!$F$14</f>
        <v>2016-09-30</v>
      </c>
      <c r="F215">
        <f t="shared" si="8"/>
        <v>515000</v>
      </c>
      <c r="G215">
        <v>2</v>
      </c>
    </row>
    <row r="216" spans="1:7" x14ac:dyDescent="0.15">
      <c r="A216">
        <f t="shared" si="7"/>
        <v>206</v>
      </c>
      <c r="B216">
        <v>4</v>
      </c>
      <c r="C216">
        <v>206</v>
      </c>
      <c r="D216" s="4" t="s">
        <v>796</v>
      </c>
      <c r="E216" t="str">
        <f>案件!$F$14</f>
        <v>2016-09-30</v>
      </c>
      <c r="F216">
        <f t="shared" si="8"/>
        <v>516000</v>
      </c>
      <c r="G216">
        <v>2</v>
      </c>
    </row>
    <row r="217" spans="1:7" x14ac:dyDescent="0.15">
      <c r="A217">
        <f t="shared" si="7"/>
        <v>207</v>
      </c>
      <c r="B217">
        <v>4</v>
      </c>
      <c r="C217">
        <v>207</v>
      </c>
      <c r="D217" s="4" t="s">
        <v>796</v>
      </c>
      <c r="E217" t="str">
        <f>案件!$F$14</f>
        <v>2016-09-30</v>
      </c>
      <c r="F217">
        <f t="shared" si="8"/>
        <v>517000</v>
      </c>
      <c r="G217">
        <v>2</v>
      </c>
    </row>
    <row r="218" spans="1:7" x14ac:dyDescent="0.15">
      <c r="A218">
        <f t="shared" si="7"/>
        <v>208</v>
      </c>
      <c r="B218">
        <v>4</v>
      </c>
      <c r="C218">
        <v>208</v>
      </c>
      <c r="D218" s="4" t="s">
        <v>796</v>
      </c>
      <c r="E218" t="str">
        <f>案件!$F$14</f>
        <v>2016-09-30</v>
      </c>
      <c r="F218">
        <f t="shared" si="8"/>
        <v>518000</v>
      </c>
      <c r="G218">
        <v>2</v>
      </c>
    </row>
    <row r="219" spans="1:7" x14ac:dyDescent="0.15">
      <c r="A219">
        <f t="shared" si="7"/>
        <v>209</v>
      </c>
      <c r="B219">
        <v>4</v>
      </c>
      <c r="C219">
        <v>209</v>
      </c>
      <c r="D219" s="4" t="s">
        <v>796</v>
      </c>
      <c r="E219" t="str">
        <f>案件!$F$14</f>
        <v>2016-09-30</v>
      </c>
      <c r="F219">
        <f t="shared" si="8"/>
        <v>519000</v>
      </c>
      <c r="G219">
        <v>2</v>
      </c>
    </row>
    <row r="220" spans="1:7" x14ac:dyDescent="0.15">
      <c r="A220">
        <f t="shared" si="7"/>
        <v>210</v>
      </c>
      <c r="B220">
        <v>4</v>
      </c>
      <c r="C220">
        <v>210</v>
      </c>
      <c r="D220" s="4" t="s">
        <v>796</v>
      </c>
      <c r="E220" t="str">
        <f>案件!$F$14</f>
        <v>2016-09-30</v>
      </c>
      <c r="F220">
        <f t="shared" si="8"/>
        <v>520000</v>
      </c>
      <c r="G220">
        <v>2</v>
      </c>
    </row>
    <row r="221" spans="1:7" x14ac:dyDescent="0.15">
      <c r="A221">
        <f t="shared" si="7"/>
        <v>211</v>
      </c>
      <c r="B221">
        <v>4</v>
      </c>
      <c r="C221">
        <v>211</v>
      </c>
      <c r="D221" s="4" t="s">
        <v>796</v>
      </c>
      <c r="E221" t="str">
        <f>案件!$F$14</f>
        <v>2016-09-30</v>
      </c>
      <c r="F221">
        <f t="shared" si="8"/>
        <v>521000</v>
      </c>
      <c r="G221">
        <v>2</v>
      </c>
    </row>
    <row r="222" spans="1:7" x14ac:dyDescent="0.15">
      <c r="A222">
        <f t="shared" si="7"/>
        <v>212</v>
      </c>
      <c r="B222">
        <v>4</v>
      </c>
      <c r="C222">
        <v>212</v>
      </c>
      <c r="D222" s="4" t="s">
        <v>796</v>
      </c>
      <c r="E222" t="str">
        <f>案件!$F$14</f>
        <v>2016-09-30</v>
      </c>
      <c r="F222">
        <f t="shared" si="8"/>
        <v>522000</v>
      </c>
      <c r="G222">
        <v>2</v>
      </c>
    </row>
    <row r="223" spans="1:7" x14ac:dyDescent="0.15">
      <c r="A223">
        <f t="shared" si="7"/>
        <v>213</v>
      </c>
      <c r="B223">
        <v>4</v>
      </c>
      <c r="C223">
        <v>213</v>
      </c>
      <c r="D223" s="4" t="s">
        <v>796</v>
      </c>
      <c r="E223" t="str">
        <f>案件!$F$14</f>
        <v>2016-09-30</v>
      </c>
      <c r="F223">
        <f t="shared" si="8"/>
        <v>523000</v>
      </c>
      <c r="G223">
        <v>2</v>
      </c>
    </row>
    <row r="224" spans="1:7" x14ac:dyDescent="0.15">
      <c r="A224">
        <f t="shared" si="7"/>
        <v>214</v>
      </c>
      <c r="B224">
        <v>4</v>
      </c>
      <c r="C224">
        <v>214</v>
      </c>
      <c r="D224" s="4" t="s">
        <v>796</v>
      </c>
      <c r="E224" t="str">
        <f>案件!$F$14</f>
        <v>2016-09-30</v>
      </c>
      <c r="F224">
        <f t="shared" si="8"/>
        <v>524000</v>
      </c>
      <c r="G224">
        <v>2</v>
      </c>
    </row>
    <row r="225" spans="1:7" x14ac:dyDescent="0.15">
      <c r="A225">
        <f t="shared" si="7"/>
        <v>215</v>
      </c>
      <c r="B225">
        <v>4</v>
      </c>
      <c r="C225">
        <v>215</v>
      </c>
      <c r="D225" s="4" t="s">
        <v>796</v>
      </c>
      <c r="E225" t="str">
        <f>案件!$F$14</f>
        <v>2016-09-30</v>
      </c>
      <c r="F225">
        <f t="shared" si="8"/>
        <v>525000</v>
      </c>
      <c r="G225">
        <v>2</v>
      </c>
    </row>
    <row r="226" spans="1:7" x14ac:dyDescent="0.15">
      <c r="A226">
        <f t="shared" si="7"/>
        <v>216</v>
      </c>
      <c r="B226">
        <v>4</v>
      </c>
      <c r="C226">
        <v>216</v>
      </c>
      <c r="D226" s="4" t="s">
        <v>796</v>
      </c>
      <c r="E226" t="str">
        <f>案件!$F$14</f>
        <v>2016-09-30</v>
      </c>
      <c r="F226">
        <f t="shared" si="8"/>
        <v>526000</v>
      </c>
      <c r="G226">
        <v>2</v>
      </c>
    </row>
    <row r="227" spans="1:7" x14ac:dyDescent="0.15">
      <c r="A227">
        <f t="shared" si="7"/>
        <v>217</v>
      </c>
      <c r="B227">
        <v>4</v>
      </c>
      <c r="C227">
        <v>217</v>
      </c>
      <c r="D227" s="4" t="s">
        <v>796</v>
      </c>
      <c r="E227" t="str">
        <f>案件!$F$14</f>
        <v>2016-09-30</v>
      </c>
      <c r="F227">
        <f t="shared" si="8"/>
        <v>527000</v>
      </c>
      <c r="G227">
        <v>2</v>
      </c>
    </row>
    <row r="228" spans="1:7" x14ac:dyDescent="0.15">
      <c r="A228">
        <f t="shared" si="7"/>
        <v>218</v>
      </c>
      <c r="B228">
        <v>4</v>
      </c>
      <c r="C228">
        <v>218</v>
      </c>
      <c r="D228" s="4" t="s">
        <v>796</v>
      </c>
      <c r="E228" t="str">
        <f>案件!$F$14</f>
        <v>2016-09-30</v>
      </c>
      <c r="F228">
        <f t="shared" si="8"/>
        <v>528000</v>
      </c>
      <c r="G228">
        <v>2</v>
      </c>
    </row>
    <row r="229" spans="1:7" x14ac:dyDescent="0.15">
      <c r="A229">
        <f t="shared" si="7"/>
        <v>219</v>
      </c>
      <c r="B229">
        <v>20</v>
      </c>
      <c r="C229">
        <v>260</v>
      </c>
      <c r="D229" t="str">
        <f>案件!$E$30</f>
        <v>2014-08-30</v>
      </c>
      <c r="E229" t="str">
        <f>案件!$F$30</f>
        <v>2015-08-30</v>
      </c>
      <c r="F229">
        <f t="shared" si="8"/>
        <v>529000</v>
      </c>
      <c r="G229">
        <v>3</v>
      </c>
    </row>
    <row r="230" spans="1:7" x14ac:dyDescent="0.15">
      <c r="A230">
        <f t="shared" si="7"/>
        <v>220</v>
      </c>
      <c r="B230">
        <v>20</v>
      </c>
      <c r="C230">
        <v>261</v>
      </c>
      <c r="D230" t="str">
        <f>案件!$E$30</f>
        <v>2014-08-30</v>
      </c>
      <c r="E230" t="str">
        <f>案件!$F$30</f>
        <v>2015-08-30</v>
      </c>
      <c r="F230">
        <f t="shared" si="8"/>
        <v>530000</v>
      </c>
      <c r="G230">
        <v>3</v>
      </c>
    </row>
    <row r="231" spans="1:7" x14ac:dyDescent="0.15">
      <c r="A231">
        <f t="shared" si="7"/>
        <v>221</v>
      </c>
      <c r="B231">
        <v>20</v>
      </c>
      <c r="C231">
        <v>262</v>
      </c>
      <c r="D231" t="str">
        <f>案件!$E$30</f>
        <v>2014-08-30</v>
      </c>
      <c r="E231" t="str">
        <f>案件!$F$30</f>
        <v>2015-08-30</v>
      </c>
      <c r="F231">
        <f t="shared" si="8"/>
        <v>531000</v>
      </c>
      <c r="G231">
        <v>3</v>
      </c>
    </row>
    <row r="232" spans="1:7" x14ac:dyDescent="0.15">
      <c r="A232">
        <f t="shared" si="7"/>
        <v>222</v>
      </c>
      <c r="B232">
        <v>20</v>
      </c>
      <c r="C232">
        <v>263</v>
      </c>
      <c r="D232" t="str">
        <f>案件!$E$30</f>
        <v>2014-08-30</v>
      </c>
      <c r="E232" t="str">
        <f>案件!$F$30</f>
        <v>2015-08-30</v>
      </c>
      <c r="F232">
        <f t="shared" si="8"/>
        <v>532000</v>
      </c>
      <c r="G232">
        <v>3</v>
      </c>
    </row>
    <row r="233" spans="1:7" x14ac:dyDescent="0.15">
      <c r="A233">
        <f t="shared" si="7"/>
        <v>223</v>
      </c>
      <c r="B233">
        <v>20</v>
      </c>
      <c r="C233">
        <v>264</v>
      </c>
      <c r="D233" t="str">
        <f>案件!$E$30</f>
        <v>2014-08-30</v>
      </c>
      <c r="E233" t="str">
        <f>案件!$F$30</f>
        <v>2015-08-30</v>
      </c>
      <c r="F233">
        <f t="shared" si="8"/>
        <v>533000</v>
      </c>
      <c r="G233">
        <v>3</v>
      </c>
    </row>
    <row r="234" spans="1:7" x14ac:dyDescent="0.15">
      <c r="A234">
        <f t="shared" si="7"/>
        <v>224</v>
      </c>
      <c r="B234">
        <v>20</v>
      </c>
      <c r="C234">
        <v>265</v>
      </c>
      <c r="D234" t="str">
        <f>案件!$E$30</f>
        <v>2014-08-30</v>
      </c>
      <c r="E234" t="str">
        <f>案件!$F$30</f>
        <v>2015-08-30</v>
      </c>
      <c r="F234">
        <f t="shared" si="8"/>
        <v>534000</v>
      </c>
      <c r="G234">
        <v>3</v>
      </c>
    </row>
    <row r="235" spans="1:7" x14ac:dyDescent="0.15">
      <c r="A235">
        <f t="shared" si="7"/>
        <v>225</v>
      </c>
      <c r="B235">
        <v>20</v>
      </c>
      <c r="C235">
        <v>266</v>
      </c>
      <c r="D235" t="str">
        <f>案件!$E$30</f>
        <v>2014-08-30</v>
      </c>
      <c r="E235" t="str">
        <f>案件!$F$30</f>
        <v>2015-08-30</v>
      </c>
      <c r="F235">
        <f t="shared" si="8"/>
        <v>535000</v>
      </c>
      <c r="G235">
        <v>3</v>
      </c>
    </row>
    <row r="236" spans="1:7" x14ac:dyDescent="0.15">
      <c r="A236">
        <f t="shared" si="7"/>
        <v>226</v>
      </c>
      <c r="B236">
        <v>20</v>
      </c>
      <c r="C236">
        <v>267</v>
      </c>
      <c r="D236" t="str">
        <f>案件!$E$30</f>
        <v>2014-08-30</v>
      </c>
      <c r="E236" t="str">
        <f>案件!$F$30</f>
        <v>2015-08-30</v>
      </c>
      <c r="F236">
        <f t="shared" si="8"/>
        <v>536000</v>
      </c>
      <c r="G236">
        <v>3</v>
      </c>
    </row>
    <row r="237" spans="1:7" x14ac:dyDescent="0.15">
      <c r="A237">
        <f t="shared" si="7"/>
        <v>227</v>
      </c>
      <c r="B237">
        <v>20</v>
      </c>
      <c r="C237">
        <v>268</v>
      </c>
      <c r="D237" t="str">
        <f>案件!$E$30</f>
        <v>2014-08-30</v>
      </c>
      <c r="E237" t="str">
        <f>案件!$F$30</f>
        <v>2015-08-30</v>
      </c>
      <c r="F237">
        <f t="shared" si="8"/>
        <v>537000</v>
      </c>
      <c r="G237">
        <v>3</v>
      </c>
    </row>
    <row r="238" spans="1:7" x14ac:dyDescent="0.15">
      <c r="A238">
        <f t="shared" si="7"/>
        <v>228</v>
      </c>
      <c r="B238">
        <v>20</v>
      </c>
      <c r="C238">
        <v>269</v>
      </c>
      <c r="D238" t="str">
        <f>案件!$E$30</f>
        <v>2014-08-30</v>
      </c>
      <c r="E238" t="str">
        <f>案件!$F$30</f>
        <v>2015-08-30</v>
      </c>
      <c r="F238">
        <f t="shared" si="8"/>
        <v>538000</v>
      </c>
      <c r="G238">
        <v>3</v>
      </c>
    </row>
    <row r="239" spans="1:7" x14ac:dyDescent="0.15">
      <c r="A239">
        <f t="shared" si="7"/>
        <v>229</v>
      </c>
      <c r="B239">
        <v>20</v>
      </c>
      <c r="C239">
        <v>270</v>
      </c>
      <c r="D239" t="str">
        <f>案件!$E$30</f>
        <v>2014-08-30</v>
      </c>
      <c r="E239" t="str">
        <f>案件!$F$30</f>
        <v>2015-08-30</v>
      </c>
      <c r="F239">
        <f t="shared" si="8"/>
        <v>539000</v>
      </c>
      <c r="G239">
        <v>3</v>
      </c>
    </row>
    <row r="240" spans="1:7" x14ac:dyDescent="0.15">
      <c r="A240">
        <f t="shared" si="7"/>
        <v>230</v>
      </c>
      <c r="B240">
        <v>20</v>
      </c>
      <c r="C240">
        <v>271</v>
      </c>
      <c r="D240" t="str">
        <f>案件!$E$30</f>
        <v>2014-08-30</v>
      </c>
      <c r="E240" t="str">
        <f>案件!$F$30</f>
        <v>2015-08-30</v>
      </c>
      <c r="F240">
        <f t="shared" si="8"/>
        <v>540000</v>
      </c>
      <c r="G240">
        <v>3</v>
      </c>
    </row>
    <row r="241" spans="1:7" x14ac:dyDescent="0.15">
      <c r="A241">
        <f t="shared" si="7"/>
        <v>231</v>
      </c>
      <c r="B241">
        <v>20</v>
      </c>
      <c r="C241">
        <v>272</v>
      </c>
      <c r="D241" t="str">
        <f>案件!$E$30</f>
        <v>2014-08-30</v>
      </c>
      <c r="E241" t="str">
        <f>案件!$F$30</f>
        <v>2015-08-30</v>
      </c>
      <c r="F241">
        <f t="shared" si="8"/>
        <v>541000</v>
      </c>
      <c r="G241">
        <v>3</v>
      </c>
    </row>
    <row r="242" spans="1:7" x14ac:dyDescent="0.15">
      <c r="A242">
        <f t="shared" si="7"/>
        <v>232</v>
      </c>
      <c r="B242">
        <v>20</v>
      </c>
      <c r="C242">
        <v>273</v>
      </c>
      <c r="D242" t="str">
        <f>案件!$E$30</f>
        <v>2014-08-30</v>
      </c>
      <c r="E242" t="str">
        <f>案件!$F$30</f>
        <v>2015-08-30</v>
      </c>
      <c r="F242">
        <f t="shared" si="8"/>
        <v>542000</v>
      </c>
      <c r="G242">
        <v>3</v>
      </c>
    </row>
    <row r="243" spans="1:7" x14ac:dyDescent="0.15">
      <c r="A243">
        <f t="shared" si="7"/>
        <v>233</v>
      </c>
      <c r="B243">
        <v>20</v>
      </c>
      <c r="C243">
        <v>274</v>
      </c>
      <c r="D243" t="str">
        <f>案件!$E$30</f>
        <v>2014-08-30</v>
      </c>
      <c r="E243" t="str">
        <f>案件!$F$30</f>
        <v>2015-08-30</v>
      </c>
      <c r="F243">
        <f t="shared" si="8"/>
        <v>543000</v>
      </c>
      <c r="G243">
        <v>3</v>
      </c>
    </row>
    <row r="244" spans="1:7" x14ac:dyDescent="0.15">
      <c r="A244">
        <f t="shared" si="7"/>
        <v>234</v>
      </c>
      <c r="B244">
        <v>20</v>
      </c>
      <c r="C244">
        <v>275</v>
      </c>
      <c r="D244" t="str">
        <f>案件!$E$30</f>
        <v>2014-08-30</v>
      </c>
      <c r="E244" t="str">
        <f>案件!$F$30</f>
        <v>2015-08-30</v>
      </c>
      <c r="F244">
        <f t="shared" si="8"/>
        <v>544000</v>
      </c>
      <c r="G244">
        <v>3</v>
      </c>
    </row>
    <row r="245" spans="1:7" x14ac:dyDescent="0.15">
      <c r="A245">
        <f t="shared" si="7"/>
        <v>235</v>
      </c>
      <c r="B245">
        <v>20</v>
      </c>
      <c r="C245">
        <v>276</v>
      </c>
      <c r="D245" t="str">
        <f>案件!$E$30</f>
        <v>2014-08-30</v>
      </c>
      <c r="E245" t="str">
        <f>案件!$F$30</f>
        <v>2015-08-30</v>
      </c>
      <c r="F245">
        <f t="shared" si="8"/>
        <v>545000</v>
      </c>
      <c r="G245">
        <v>3</v>
      </c>
    </row>
    <row r="246" spans="1:7" x14ac:dyDescent="0.15">
      <c r="A246">
        <f t="shared" si="7"/>
        <v>236</v>
      </c>
      <c r="B246">
        <v>20</v>
      </c>
      <c r="C246">
        <v>277</v>
      </c>
      <c r="D246" t="str">
        <f>案件!$E$30</f>
        <v>2014-08-30</v>
      </c>
      <c r="E246" t="str">
        <f>案件!$F$30</f>
        <v>2015-08-30</v>
      </c>
      <c r="F246">
        <f t="shared" si="8"/>
        <v>546000</v>
      </c>
      <c r="G246">
        <v>3</v>
      </c>
    </row>
    <row r="247" spans="1:7" x14ac:dyDescent="0.15">
      <c r="A247">
        <f t="shared" si="7"/>
        <v>237</v>
      </c>
      <c r="B247">
        <v>20</v>
      </c>
      <c r="C247">
        <v>278</v>
      </c>
      <c r="D247" t="str">
        <f>案件!$E$30</f>
        <v>2014-08-30</v>
      </c>
      <c r="E247" t="str">
        <f>案件!$F$30</f>
        <v>2015-08-30</v>
      </c>
      <c r="F247">
        <f t="shared" si="8"/>
        <v>547000</v>
      </c>
      <c r="G247">
        <v>3</v>
      </c>
    </row>
    <row r="248" spans="1:7" x14ac:dyDescent="0.15">
      <c r="A248">
        <f t="shared" si="7"/>
        <v>238</v>
      </c>
      <c r="B248">
        <v>20</v>
      </c>
      <c r="C248">
        <v>279</v>
      </c>
      <c r="D248" t="str">
        <f>案件!$E$30</f>
        <v>2014-08-30</v>
      </c>
      <c r="E248" t="str">
        <f>案件!$F$30</f>
        <v>2015-08-30</v>
      </c>
      <c r="F248">
        <f t="shared" si="8"/>
        <v>548000</v>
      </c>
      <c r="G248">
        <v>3</v>
      </c>
    </row>
    <row r="249" spans="1:7" x14ac:dyDescent="0.15">
      <c r="A249">
        <f t="shared" si="7"/>
        <v>239</v>
      </c>
      <c r="B249">
        <v>20</v>
      </c>
      <c r="C249">
        <v>280</v>
      </c>
      <c r="D249" t="str">
        <f>案件!$E$30</f>
        <v>2014-08-30</v>
      </c>
      <c r="E249" t="str">
        <f>案件!$F$30</f>
        <v>2015-08-30</v>
      </c>
      <c r="F249">
        <f t="shared" si="8"/>
        <v>549000</v>
      </c>
      <c r="G249">
        <v>3</v>
      </c>
    </row>
    <row r="250" spans="1:7" x14ac:dyDescent="0.15">
      <c r="A250">
        <f t="shared" si="7"/>
        <v>240</v>
      </c>
      <c r="B250">
        <v>21</v>
      </c>
      <c r="C250">
        <v>281</v>
      </c>
      <c r="D250" t="str">
        <f>案件!$E$31</f>
        <v>2014-08-30</v>
      </c>
      <c r="E250" t="str">
        <f>案件!$F$31</f>
        <v>2015-07-30</v>
      </c>
      <c r="F250">
        <f t="shared" si="8"/>
        <v>550000</v>
      </c>
      <c r="G250">
        <v>3</v>
      </c>
    </row>
    <row r="251" spans="1:7" x14ac:dyDescent="0.15">
      <c r="A251">
        <f t="shared" si="7"/>
        <v>241</v>
      </c>
      <c r="B251">
        <v>21</v>
      </c>
      <c r="C251">
        <v>282</v>
      </c>
      <c r="D251" t="str">
        <f>案件!$E$31</f>
        <v>2014-08-30</v>
      </c>
      <c r="E251" t="str">
        <f>案件!$F$31</f>
        <v>2015-07-30</v>
      </c>
      <c r="F251">
        <f t="shared" si="8"/>
        <v>551000</v>
      </c>
      <c r="G251">
        <v>3</v>
      </c>
    </row>
    <row r="252" spans="1:7" x14ac:dyDescent="0.15">
      <c r="A252">
        <f t="shared" si="7"/>
        <v>242</v>
      </c>
      <c r="B252">
        <v>21</v>
      </c>
      <c r="C252">
        <v>283</v>
      </c>
      <c r="D252" t="str">
        <f>案件!$E$31</f>
        <v>2014-08-30</v>
      </c>
      <c r="E252" t="str">
        <f>案件!$F$31</f>
        <v>2015-07-30</v>
      </c>
      <c r="F252">
        <f t="shared" si="8"/>
        <v>552000</v>
      </c>
      <c r="G252">
        <v>3</v>
      </c>
    </row>
    <row r="253" spans="1:7" x14ac:dyDescent="0.15">
      <c r="A253">
        <f t="shared" si="7"/>
        <v>243</v>
      </c>
      <c r="B253">
        <v>21</v>
      </c>
      <c r="C253">
        <v>284</v>
      </c>
      <c r="D253" t="str">
        <f>案件!$E$31</f>
        <v>2014-08-30</v>
      </c>
      <c r="E253" t="str">
        <f>案件!$F$31</f>
        <v>2015-07-30</v>
      </c>
      <c r="F253">
        <f t="shared" si="8"/>
        <v>553000</v>
      </c>
      <c r="G253">
        <v>3</v>
      </c>
    </row>
    <row r="254" spans="1:7" x14ac:dyDescent="0.15">
      <c r="A254">
        <f t="shared" si="7"/>
        <v>244</v>
      </c>
      <c r="B254">
        <v>21</v>
      </c>
      <c r="C254">
        <v>285</v>
      </c>
      <c r="D254" t="str">
        <f>案件!$E$31</f>
        <v>2014-08-30</v>
      </c>
      <c r="E254" t="str">
        <f>案件!$F$31</f>
        <v>2015-07-30</v>
      </c>
      <c r="F254">
        <f t="shared" si="8"/>
        <v>554000</v>
      </c>
      <c r="G254">
        <v>3</v>
      </c>
    </row>
    <row r="255" spans="1:7" x14ac:dyDescent="0.15">
      <c r="A255">
        <f t="shared" si="7"/>
        <v>245</v>
      </c>
      <c r="B255">
        <v>22</v>
      </c>
      <c r="C255">
        <v>286</v>
      </c>
      <c r="D255" t="str">
        <f>案件!$E$31</f>
        <v>2014-08-30</v>
      </c>
      <c r="E255" t="str">
        <f>案件!$F$31</f>
        <v>2015-07-30</v>
      </c>
      <c r="F255">
        <f t="shared" si="8"/>
        <v>555000</v>
      </c>
      <c r="G255">
        <v>3</v>
      </c>
    </row>
    <row r="256" spans="1:7" x14ac:dyDescent="0.15">
      <c r="A256">
        <f t="shared" si="7"/>
        <v>246</v>
      </c>
      <c r="B256">
        <v>23</v>
      </c>
      <c r="C256">
        <v>287</v>
      </c>
      <c r="D256" t="str">
        <f>案件!$E$31</f>
        <v>2014-08-30</v>
      </c>
      <c r="E256" t="str">
        <f>案件!$F$31</f>
        <v>2015-07-30</v>
      </c>
      <c r="F256">
        <f t="shared" si="8"/>
        <v>556000</v>
      </c>
      <c r="G256">
        <v>3</v>
      </c>
    </row>
    <row r="257" spans="1:7" x14ac:dyDescent="0.15">
      <c r="A257">
        <f t="shared" si="7"/>
        <v>247</v>
      </c>
      <c r="B257">
        <v>24</v>
      </c>
      <c r="C257">
        <v>288</v>
      </c>
      <c r="D257" t="str">
        <f>案件!$E$31</f>
        <v>2014-08-30</v>
      </c>
      <c r="E257" t="str">
        <f>案件!$F$31</f>
        <v>2015-07-30</v>
      </c>
      <c r="F257">
        <f t="shared" si="8"/>
        <v>557000</v>
      </c>
      <c r="G257">
        <v>3</v>
      </c>
    </row>
    <row r="258" spans="1:7" x14ac:dyDescent="0.15">
      <c r="A258">
        <f t="shared" si="7"/>
        <v>248</v>
      </c>
      <c r="B258">
        <v>25</v>
      </c>
      <c r="C258">
        <v>289</v>
      </c>
      <c r="D258" t="str">
        <f>案件!$E$31</f>
        <v>2014-08-30</v>
      </c>
      <c r="E258" t="str">
        <f>案件!$F$31</f>
        <v>2015-07-30</v>
      </c>
      <c r="F258">
        <f t="shared" si="8"/>
        <v>558000</v>
      </c>
      <c r="G258">
        <v>3</v>
      </c>
    </row>
    <row r="259" spans="1:7" x14ac:dyDescent="0.15">
      <c r="A259">
        <f t="shared" si="7"/>
        <v>249</v>
      </c>
      <c r="B259">
        <v>26</v>
      </c>
      <c r="C259">
        <v>290</v>
      </c>
      <c r="D259" t="str">
        <f>案件!$E$31</f>
        <v>2014-08-30</v>
      </c>
      <c r="E259" t="str">
        <f>案件!$F$31</f>
        <v>2015-07-30</v>
      </c>
      <c r="F259">
        <f t="shared" si="8"/>
        <v>559000</v>
      </c>
      <c r="G259">
        <v>3</v>
      </c>
    </row>
    <row r="260" spans="1:7" x14ac:dyDescent="0.15">
      <c r="A260">
        <f t="shared" si="7"/>
        <v>250</v>
      </c>
      <c r="B260">
        <v>27</v>
      </c>
      <c r="C260">
        <v>291</v>
      </c>
      <c r="D260" t="str">
        <f>案件!$E$31</f>
        <v>2014-08-30</v>
      </c>
      <c r="E260" t="str">
        <f>案件!$F$31</f>
        <v>2015-07-30</v>
      </c>
      <c r="F260">
        <f t="shared" si="8"/>
        <v>560000</v>
      </c>
      <c r="G260">
        <v>3</v>
      </c>
    </row>
    <row r="261" spans="1:7" x14ac:dyDescent="0.15">
      <c r="A261">
        <f t="shared" si="7"/>
        <v>251</v>
      </c>
      <c r="B261">
        <v>28</v>
      </c>
      <c r="C261">
        <v>292</v>
      </c>
      <c r="D261" t="str">
        <f>案件!$E$31</f>
        <v>2014-08-30</v>
      </c>
      <c r="E261" t="str">
        <f>案件!$F$31</f>
        <v>2015-07-30</v>
      </c>
      <c r="F261">
        <f t="shared" si="8"/>
        <v>561000</v>
      </c>
      <c r="G261">
        <v>3</v>
      </c>
    </row>
    <row r="262" spans="1:7" x14ac:dyDescent="0.15">
      <c r="A262">
        <f t="shared" si="7"/>
        <v>252</v>
      </c>
      <c r="B262">
        <v>28</v>
      </c>
      <c r="C262">
        <v>293</v>
      </c>
      <c r="D262" t="str">
        <f>案件!$E$31</f>
        <v>2014-08-30</v>
      </c>
      <c r="E262" t="str">
        <f>案件!$F$31</f>
        <v>2015-07-30</v>
      </c>
      <c r="F262">
        <f t="shared" si="8"/>
        <v>562000</v>
      </c>
      <c r="G262">
        <v>3</v>
      </c>
    </row>
    <row r="263" spans="1:7" x14ac:dyDescent="0.15">
      <c r="A263">
        <f t="shared" si="7"/>
        <v>253</v>
      </c>
      <c r="B263">
        <v>21</v>
      </c>
      <c r="C263">
        <v>294</v>
      </c>
      <c r="D263" t="str">
        <f>案件!$E$31</f>
        <v>2014-08-30</v>
      </c>
      <c r="E263" t="str">
        <f>案件!$F$31</f>
        <v>2015-07-30</v>
      </c>
      <c r="F263">
        <f t="shared" si="8"/>
        <v>563000</v>
      </c>
      <c r="G263">
        <v>3</v>
      </c>
    </row>
    <row r="264" spans="1:7" x14ac:dyDescent="0.15">
      <c r="A264">
        <f t="shared" si="7"/>
        <v>254</v>
      </c>
      <c r="B264">
        <v>21</v>
      </c>
      <c r="C264">
        <v>295</v>
      </c>
      <c r="D264" t="str">
        <f>案件!$E$31</f>
        <v>2014-08-30</v>
      </c>
      <c r="E264" t="str">
        <f>案件!$F$31</f>
        <v>2015-07-30</v>
      </c>
      <c r="F264">
        <f t="shared" si="8"/>
        <v>564000</v>
      </c>
      <c r="G264">
        <v>3</v>
      </c>
    </row>
    <row r="265" spans="1:7" x14ac:dyDescent="0.15">
      <c r="A265">
        <f t="shared" si="7"/>
        <v>255</v>
      </c>
      <c r="B265">
        <v>21</v>
      </c>
      <c r="C265">
        <v>296</v>
      </c>
      <c r="D265" t="str">
        <f>案件!$E$31</f>
        <v>2014-08-30</v>
      </c>
      <c r="E265" t="str">
        <f>案件!$F$31</f>
        <v>2015-07-30</v>
      </c>
      <c r="F265">
        <f t="shared" si="8"/>
        <v>565000</v>
      </c>
      <c r="G265">
        <v>3</v>
      </c>
    </row>
    <row r="266" spans="1:7" x14ac:dyDescent="0.15">
      <c r="A266">
        <f t="shared" si="7"/>
        <v>256</v>
      </c>
      <c r="B266">
        <v>21</v>
      </c>
      <c r="C266">
        <v>297</v>
      </c>
      <c r="D266" t="str">
        <f>案件!$E$31</f>
        <v>2014-08-30</v>
      </c>
      <c r="E266" t="str">
        <f>案件!$F$31</f>
        <v>2015-07-30</v>
      </c>
      <c r="F266">
        <f t="shared" si="8"/>
        <v>566000</v>
      </c>
      <c r="G266">
        <v>3</v>
      </c>
    </row>
    <row r="267" spans="1:7" x14ac:dyDescent="0.15">
      <c r="A267">
        <f t="shared" si="7"/>
        <v>257</v>
      </c>
      <c r="B267">
        <v>21</v>
      </c>
      <c r="C267">
        <v>298</v>
      </c>
      <c r="D267" t="str">
        <f>案件!$E$31</f>
        <v>2014-08-30</v>
      </c>
      <c r="E267" t="str">
        <f>案件!$F$31</f>
        <v>2015-07-30</v>
      </c>
      <c r="F267">
        <f t="shared" si="8"/>
        <v>567000</v>
      </c>
      <c r="G267">
        <v>3</v>
      </c>
    </row>
    <row r="268" spans="1:7" x14ac:dyDescent="0.15">
      <c r="A268">
        <f t="shared" ref="A268:A275" si="9">ROW()-10</f>
        <v>258</v>
      </c>
      <c r="B268">
        <v>21</v>
      </c>
      <c r="C268">
        <v>299</v>
      </c>
      <c r="D268" t="str">
        <f>案件!$E$31</f>
        <v>2014-08-30</v>
      </c>
      <c r="E268" t="str">
        <f>案件!$F$31</f>
        <v>2015-07-30</v>
      </c>
      <c r="F268">
        <f t="shared" si="8"/>
        <v>568000</v>
      </c>
      <c r="G268">
        <v>3</v>
      </c>
    </row>
    <row r="269" spans="1:7" x14ac:dyDescent="0.15">
      <c r="A269">
        <f t="shared" si="9"/>
        <v>259</v>
      </c>
      <c r="B269">
        <v>21</v>
      </c>
      <c r="C269">
        <v>300</v>
      </c>
      <c r="D269" t="str">
        <f>案件!$E$31</f>
        <v>2014-08-30</v>
      </c>
      <c r="E269" t="str">
        <f>案件!$F$31</f>
        <v>2015-07-30</v>
      </c>
      <c r="F269">
        <f t="shared" ref="F269:F275" si="10">$F$11+1000*ROW()</f>
        <v>569000</v>
      </c>
      <c r="G269">
        <v>3</v>
      </c>
    </row>
    <row r="270" spans="1:7" x14ac:dyDescent="0.15">
      <c r="A270">
        <f t="shared" si="9"/>
        <v>260</v>
      </c>
      <c r="B270">
        <v>21</v>
      </c>
      <c r="C270">
        <v>301</v>
      </c>
      <c r="D270" t="str">
        <f>案件!$E$31</f>
        <v>2014-08-30</v>
      </c>
      <c r="E270" t="str">
        <f>案件!$F$31</f>
        <v>2015-07-30</v>
      </c>
      <c r="F270">
        <f t="shared" si="10"/>
        <v>570000</v>
      </c>
      <c r="G270">
        <v>3</v>
      </c>
    </row>
    <row r="271" spans="1:7" x14ac:dyDescent="0.15">
      <c r="A271">
        <f t="shared" si="9"/>
        <v>261</v>
      </c>
      <c r="B271">
        <v>5</v>
      </c>
      <c r="C271">
        <v>281</v>
      </c>
      <c r="D271" t="str">
        <f>案件!E15</f>
        <v>2015-12-30</v>
      </c>
      <c r="E271" t="str">
        <f>案件!F15</f>
        <v>2016-01-30</v>
      </c>
      <c r="F271">
        <f t="shared" si="10"/>
        <v>571000</v>
      </c>
      <c r="G271">
        <v>1</v>
      </c>
    </row>
    <row r="272" spans="1:7" x14ac:dyDescent="0.15">
      <c r="A272">
        <f t="shared" si="9"/>
        <v>262</v>
      </c>
      <c r="B272">
        <v>6</v>
      </c>
      <c r="C272">
        <v>281</v>
      </c>
      <c r="D272" t="str">
        <f>案件!E16</f>
        <v>2015-12-30</v>
      </c>
      <c r="E272" t="str">
        <f>案件!F16</f>
        <v>2016-01-30</v>
      </c>
      <c r="F272">
        <f t="shared" si="10"/>
        <v>572000</v>
      </c>
      <c r="G272">
        <v>1</v>
      </c>
    </row>
    <row r="273" spans="1:7" x14ac:dyDescent="0.15">
      <c r="A273">
        <f t="shared" si="9"/>
        <v>263</v>
      </c>
      <c r="B273">
        <v>7</v>
      </c>
      <c r="C273">
        <v>281</v>
      </c>
      <c r="D273" t="str">
        <f>案件!E17</f>
        <v>2015-12-30</v>
      </c>
      <c r="E273" t="str">
        <f>案件!F17</f>
        <v>2016-01-30</v>
      </c>
      <c r="F273">
        <f t="shared" si="10"/>
        <v>573000</v>
      </c>
      <c r="G273">
        <v>1</v>
      </c>
    </row>
    <row r="274" spans="1:7" x14ac:dyDescent="0.15">
      <c r="A274">
        <f t="shared" si="9"/>
        <v>264</v>
      </c>
      <c r="B274">
        <v>8</v>
      </c>
      <c r="C274">
        <v>281</v>
      </c>
      <c r="D274" t="str">
        <f>案件!E18</f>
        <v>2015-12-30</v>
      </c>
      <c r="E274" t="str">
        <f>案件!F18</f>
        <v>2016-01-30</v>
      </c>
      <c r="F274">
        <f t="shared" si="10"/>
        <v>574000</v>
      </c>
      <c r="G274">
        <v>1</v>
      </c>
    </row>
    <row r="275" spans="1:7" x14ac:dyDescent="0.15">
      <c r="A275">
        <f t="shared" si="9"/>
        <v>265</v>
      </c>
      <c r="B275">
        <v>9</v>
      </c>
      <c r="C275">
        <v>281</v>
      </c>
      <c r="D275" t="str">
        <f>案件!E19</f>
        <v>2016-04-30</v>
      </c>
      <c r="E275" t="str">
        <f>案件!F19</f>
        <v>2016-05-30</v>
      </c>
      <c r="F275">
        <f t="shared" si="10"/>
        <v>575000</v>
      </c>
      <c r="G275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4"/>
  <sheetViews>
    <sheetView workbookViewId="0">
      <selection activeCell="E24" sqref="E24"/>
    </sheetView>
  </sheetViews>
  <sheetFormatPr defaultRowHeight="13.5" x14ac:dyDescent="0.15"/>
  <cols>
    <col min="2" max="2" width="29" bestFit="1" customWidth="1"/>
    <col min="3" max="3" width="16.625" bestFit="1" customWidth="1"/>
    <col min="4" max="4" width="12.75" bestFit="1" customWidth="1"/>
    <col min="5" max="5" width="10" bestFit="1" customWidth="1"/>
  </cols>
  <sheetData>
    <row r="1" spans="1:5" x14ac:dyDescent="0.15">
      <c r="A1" t="s">
        <v>38</v>
      </c>
    </row>
    <row r="9" spans="1:5" x14ac:dyDescent="0.15">
      <c r="A9" t="s">
        <v>821</v>
      </c>
      <c r="B9" t="s">
        <v>824</v>
      </c>
      <c r="C9" t="s">
        <v>844</v>
      </c>
      <c r="D9" t="s">
        <v>845</v>
      </c>
      <c r="E9" t="s">
        <v>838</v>
      </c>
    </row>
    <row r="10" spans="1:5" s="1" customFormat="1" ht="21" customHeight="1" x14ac:dyDescent="0.15">
      <c r="A10" s="1" t="s">
        <v>818</v>
      </c>
      <c r="B10" s="1" t="s">
        <v>22</v>
      </c>
      <c r="C10" s="1" t="s">
        <v>23</v>
      </c>
      <c r="D10" s="1" t="s">
        <v>24</v>
      </c>
      <c r="E10" s="1" t="s">
        <v>39</v>
      </c>
    </row>
    <row r="11" spans="1:5" x14ac:dyDescent="0.15">
      <c r="A11">
        <v>1</v>
      </c>
      <c r="B11" t="s">
        <v>723</v>
      </c>
      <c r="C11" s="2" t="s">
        <v>722</v>
      </c>
      <c r="D11" s="2" t="s">
        <v>45</v>
      </c>
      <c r="E11">
        <v>1</v>
      </c>
    </row>
    <row r="12" spans="1:5" x14ac:dyDescent="0.15">
      <c r="A12">
        <v>2</v>
      </c>
      <c r="B12" t="s">
        <v>724</v>
      </c>
      <c r="C12" s="2" t="s">
        <v>722</v>
      </c>
      <c r="D12" s="2" t="s">
        <v>45</v>
      </c>
      <c r="E12">
        <v>1</v>
      </c>
    </row>
    <row r="13" spans="1:5" x14ac:dyDescent="0.15">
      <c r="A13">
        <v>3</v>
      </c>
      <c r="B13" t="s">
        <v>725</v>
      </c>
      <c r="C13" s="2" t="s">
        <v>722</v>
      </c>
      <c r="D13" s="2" t="s">
        <v>45</v>
      </c>
      <c r="E13">
        <v>2</v>
      </c>
    </row>
    <row r="14" spans="1:5" x14ac:dyDescent="0.15">
      <c r="A14">
        <v>4</v>
      </c>
      <c r="B14" t="s">
        <v>726</v>
      </c>
      <c r="C14" s="2" t="s">
        <v>722</v>
      </c>
      <c r="D14" s="2" t="s">
        <v>45</v>
      </c>
      <c r="E14">
        <v>2</v>
      </c>
    </row>
    <row r="15" spans="1:5" x14ac:dyDescent="0.15">
      <c r="A15">
        <v>5</v>
      </c>
      <c r="B15" t="s">
        <v>727</v>
      </c>
      <c r="C15" s="2" t="s">
        <v>722</v>
      </c>
      <c r="D15" s="2" t="s">
        <v>45</v>
      </c>
      <c r="E15">
        <v>3</v>
      </c>
    </row>
    <row r="16" spans="1:5" x14ac:dyDescent="0.15">
      <c r="A16">
        <v>6</v>
      </c>
      <c r="B16" t="s">
        <v>728</v>
      </c>
      <c r="C16" s="2" t="s">
        <v>722</v>
      </c>
      <c r="D16" s="2" t="s">
        <v>45</v>
      </c>
      <c r="E16">
        <v>3</v>
      </c>
    </row>
    <row r="17" spans="1:5" x14ac:dyDescent="0.15">
      <c r="A17">
        <v>7</v>
      </c>
      <c r="B17" t="s">
        <v>729</v>
      </c>
      <c r="C17" s="2" t="s">
        <v>722</v>
      </c>
      <c r="D17" s="2" t="s">
        <v>45</v>
      </c>
      <c r="E17">
        <v>4</v>
      </c>
    </row>
    <row r="18" spans="1:5" x14ac:dyDescent="0.15">
      <c r="A18">
        <v>8</v>
      </c>
      <c r="B18" t="s">
        <v>730</v>
      </c>
      <c r="C18" s="2" t="s">
        <v>722</v>
      </c>
      <c r="D18" s="2" t="s">
        <v>45</v>
      </c>
      <c r="E18">
        <v>4</v>
      </c>
    </row>
    <row r="19" spans="1:5" x14ac:dyDescent="0.15">
      <c r="A19">
        <v>9</v>
      </c>
      <c r="B19" t="s">
        <v>731</v>
      </c>
      <c r="C19" s="2" t="s">
        <v>722</v>
      </c>
      <c r="D19" s="2" t="s">
        <v>45</v>
      </c>
      <c r="E19">
        <v>5</v>
      </c>
    </row>
    <row r="20" spans="1:5" x14ac:dyDescent="0.15">
      <c r="A20">
        <v>10</v>
      </c>
      <c r="B20" t="s">
        <v>732</v>
      </c>
      <c r="C20" s="2" t="s">
        <v>722</v>
      </c>
      <c r="D20" s="2" t="s">
        <v>45</v>
      </c>
      <c r="E20">
        <v>5</v>
      </c>
    </row>
    <row r="21" spans="1:5" x14ac:dyDescent="0.15">
      <c r="A21">
        <v>11</v>
      </c>
      <c r="B21" t="s">
        <v>733</v>
      </c>
      <c r="C21" s="2" t="s">
        <v>722</v>
      </c>
      <c r="D21" s="2" t="s">
        <v>45</v>
      </c>
      <c r="E21">
        <v>6</v>
      </c>
    </row>
    <row r="22" spans="1:5" x14ac:dyDescent="0.15">
      <c r="A22">
        <v>12</v>
      </c>
      <c r="B22" t="s">
        <v>734</v>
      </c>
      <c r="C22" s="2" t="s">
        <v>722</v>
      </c>
      <c r="D22" s="2" t="s">
        <v>45</v>
      </c>
      <c r="E22">
        <v>6</v>
      </c>
    </row>
    <row r="23" spans="1:5" x14ac:dyDescent="0.15">
      <c r="A23">
        <v>13</v>
      </c>
      <c r="B23" t="s">
        <v>735</v>
      </c>
      <c r="C23" s="2" t="s">
        <v>722</v>
      </c>
      <c r="D23" s="2" t="s">
        <v>45</v>
      </c>
      <c r="E23">
        <v>7</v>
      </c>
    </row>
    <row r="24" spans="1:5" x14ac:dyDescent="0.15">
      <c r="A24">
        <v>14</v>
      </c>
      <c r="B24" t="s">
        <v>736</v>
      </c>
      <c r="C24" s="2" t="s">
        <v>722</v>
      </c>
      <c r="D24" s="2" t="s">
        <v>45</v>
      </c>
      <c r="E24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ClientMember">
                <anchor moveWithCells="1" sizeWithCells="1">
                  <from>
                    <xdr:col>1</xdr:col>
                    <xdr:colOff>1552575</xdr:colOff>
                    <xdr:row>2</xdr:row>
                    <xdr:rowOff>85725</xdr:rowOff>
                  </from>
                  <to>
                    <xdr:col>2</xdr:col>
                    <xdr:colOff>1228725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6"/>
  <sheetViews>
    <sheetView topLeftCell="A7" workbookViewId="0">
      <selection activeCell="B13" sqref="B13"/>
    </sheetView>
  </sheetViews>
  <sheetFormatPr defaultRowHeight="13.5" x14ac:dyDescent="0.15"/>
  <sheetData>
    <row r="1" spans="1:2" x14ac:dyDescent="0.15">
      <c r="A1" t="s">
        <v>847</v>
      </c>
    </row>
    <row r="9" spans="1:2" x14ac:dyDescent="0.15">
      <c r="A9" t="s">
        <v>821</v>
      </c>
      <c r="B9" t="s">
        <v>824</v>
      </c>
    </row>
    <row r="10" spans="1:2" s="1" customFormat="1" ht="21" customHeight="1" x14ac:dyDescent="0.15">
      <c r="A10" s="1" t="s">
        <v>818</v>
      </c>
      <c r="B10" s="1" t="s">
        <v>848</v>
      </c>
    </row>
    <row r="11" spans="1:2" x14ac:dyDescent="0.15">
      <c r="A11">
        <f>ROW()-10</f>
        <v>1</v>
      </c>
      <c r="B11" t="s">
        <v>849</v>
      </c>
    </row>
    <row r="12" spans="1:2" x14ac:dyDescent="0.15">
      <c r="A12">
        <f t="shared" ref="A12:A36" si="0">ROW()-10</f>
        <v>2</v>
      </c>
      <c r="B12" t="s">
        <v>850</v>
      </c>
    </row>
    <row r="13" spans="1:2" x14ac:dyDescent="0.15">
      <c r="A13">
        <f t="shared" si="0"/>
        <v>3</v>
      </c>
      <c r="B13" t="s">
        <v>861</v>
      </c>
    </row>
    <row r="14" spans="1:2" x14ac:dyDescent="0.15">
      <c r="A14">
        <f t="shared" si="0"/>
        <v>4</v>
      </c>
      <c r="B14" t="s">
        <v>883</v>
      </c>
    </row>
    <row r="15" spans="1:2" x14ac:dyDescent="0.15">
      <c r="A15">
        <f t="shared" si="0"/>
        <v>5</v>
      </c>
      <c r="B15" t="s">
        <v>856</v>
      </c>
    </row>
    <row r="16" spans="1:2" x14ac:dyDescent="0.15">
      <c r="A16">
        <f t="shared" si="0"/>
        <v>6</v>
      </c>
      <c r="B16" t="s">
        <v>857</v>
      </c>
    </row>
    <row r="17" spans="1:2" x14ac:dyDescent="0.15">
      <c r="A17">
        <f t="shared" si="0"/>
        <v>7</v>
      </c>
      <c r="B17" t="s">
        <v>854</v>
      </c>
    </row>
    <row r="18" spans="1:2" x14ac:dyDescent="0.15">
      <c r="A18">
        <f t="shared" si="0"/>
        <v>8</v>
      </c>
      <c r="B18" t="s">
        <v>867</v>
      </c>
    </row>
    <row r="19" spans="1:2" x14ac:dyDescent="0.15">
      <c r="A19">
        <f t="shared" si="0"/>
        <v>9</v>
      </c>
      <c r="B19" t="s">
        <v>862</v>
      </c>
    </row>
    <row r="20" spans="1:2" x14ac:dyDescent="0.15">
      <c r="A20">
        <f t="shared" si="0"/>
        <v>10</v>
      </c>
      <c r="B20" t="s">
        <v>853</v>
      </c>
    </row>
    <row r="21" spans="1:2" x14ac:dyDescent="0.15">
      <c r="A21">
        <f t="shared" si="0"/>
        <v>11</v>
      </c>
      <c r="B21" t="s">
        <v>865</v>
      </c>
    </row>
    <row r="22" spans="1:2" x14ac:dyDescent="0.15">
      <c r="A22">
        <f t="shared" si="0"/>
        <v>12</v>
      </c>
      <c r="B22" t="s">
        <v>851</v>
      </c>
    </row>
    <row r="23" spans="1:2" x14ac:dyDescent="0.15">
      <c r="A23">
        <f t="shared" si="0"/>
        <v>13</v>
      </c>
      <c r="B23" t="s">
        <v>852</v>
      </c>
    </row>
    <row r="24" spans="1:2" x14ac:dyDescent="0.15">
      <c r="A24">
        <f t="shared" si="0"/>
        <v>14</v>
      </c>
      <c r="B24" t="s">
        <v>882</v>
      </c>
    </row>
    <row r="25" spans="1:2" x14ac:dyDescent="0.15">
      <c r="A25">
        <f t="shared" si="0"/>
        <v>15</v>
      </c>
      <c r="B25" t="s">
        <v>866</v>
      </c>
    </row>
    <row r="26" spans="1:2" x14ac:dyDescent="0.15">
      <c r="A26">
        <f t="shared" si="0"/>
        <v>16</v>
      </c>
      <c r="B26" t="s">
        <v>871</v>
      </c>
    </row>
    <row r="27" spans="1:2" x14ac:dyDescent="0.15">
      <c r="A27">
        <f t="shared" si="0"/>
        <v>17</v>
      </c>
      <c r="B27" t="s">
        <v>870</v>
      </c>
    </row>
    <row r="28" spans="1:2" x14ac:dyDescent="0.15">
      <c r="A28">
        <f t="shared" si="0"/>
        <v>18</v>
      </c>
      <c r="B28" t="s">
        <v>860</v>
      </c>
    </row>
    <row r="29" spans="1:2" x14ac:dyDescent="0.15">
      <c r="A29">
        <f t="shared" si="0"/>
        <v>19</v>
      </c>
      <c r="B29" t="s">
        <v>868</v>
      </c>
    </row>
    <row r="30" spans="1:2" x14ac:dyDescent="0.15">
      <c r="A30">
        <f t="shared" si="0"/>
        <v>20</v>
      </c>
      <c r="B30" t="s">
        <v>872</v>
      </c>
    </row>
    <row r="31" spans="1:2" x14ac:dyDescent="0.15">
      <c r="A31">
        <f t="shared" si="0"/>
        <v>21</v>
      </c>
      <c r="B31" t="s">
        <v>858</v>
      </c>
    </row>
    <row r="32" spans="1:2" x14ac:dyDescent="0.15">
      <c r="A32">
        <f t="shared" si="0"/>
        <v>22</v>
      </c>
      <c r="B32" t="s">
        <v>859</v>
      </c>
    </row>
    <row r="33" spans="1:2" x14ac:dyDescent="0.15">
      <c r="A33">
        <f t="shared" si="0"/>
        <v>23</v>
      </c>
      <c r="B33" t="s">
        <v>864</v>
      </c>
    </row>
    <row r="34" spans="1:2" x14ac:dyDescent="0.15">
      <c r="A34">
        <f t="shared" si="0"/>
        <v>24</v>
      </c>
      <c r="B34" t="s">
        <v>869</v>
      </c>
    </row>
    <row r="35" spans="1:2" x14ac:dyDescent="0.15">
      <c r="A35">
        <f t="shared" si="0"/>
        <v>25</v>
      </c>
      <c r="B35" t="s">
        <v>863</v>
      </c>
    </row>
    <row r="36" spans="1:2" x14ac:dyDescent="0.15">
      <c r="A36">
        <f t="shared" si="0"/>
        <v>26</v>
      </c>
      <c r="B36" t="s">
        <v>855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tabSelected="1" workbookViewId="0">
      <selection activeCell="F12" sqref="F12"/>
    </sheetView>
  </sheetViews>
  <sheetFormatPr defaultRowHeight="13.5" x14ac:dyDescent="0.15"/>
  <cols>
    <col min="2" max="2" width="8.875" bestFit="1" customWidth="1"/>
    <col min="3" max="3" width="6.875" bestFit="1" customWidth="1"/>
    <col min="5" max="5" width="13" bestFit="1" customWidth="1"/>
  </cols>
  <sheetData>
    <row r="1" spans="1:5" x14ac:dyDescent="0.15">
      <c r="A1" t="s">
        <v>873</v>
      </c>
    </row>
    <row r="9" spans="1:5" x14ac:dyDescent="0.15">
      <c r="A9" t="s">
        <v>821</v>
      </c>
      <c r="B9" t="s">
        <v>878</v>
      </c>
      <c r="C9" t="s">
        <v>879</v>
      </c>
      <c r="D9" t="s">
        <v>880</v>
      </c>
      <c r="E9" t="s">
        <v>881</v>
      </c>
    </row>
    <row r="10" spans="1:5" s="1" customFormat="1" ht="21" customHeight="1" x14ac:dyDescent="0.15">
      <c r="A10" s="1" t="s">
        <v>818</v>
      </c>
      <c r="B10" s="1" t="s">
        <v>874</v>
      </c>
      <c r="C10" s="1" t="s">
        <v>875</v>
      </c>
      <c r="D10" s="1" t="s">
        <v>876</v>
      </c>
      <c r="E10" s="1" t="s">
        <v>877</v>
      </c>
    </row>
    <row r="11" spans="1:5" x14ac:dyDescent="0.15">
      <c r="A11">
        <v>1</v>
      </c>
      <c r="C11">
        <v>12</v>
      </c>
      <c r="D11">
        <v>1</v>
      </c>
    </row>
    <row r="12" spans="1:5" x14ac:dyDescent="0.15">
      <c r="A12">
        <v>2</v>
      </c>
      <c r="C12">
        <v>9</v>
      </c>
      <c r="D12">
        <v>1</v>
      </c>
    </row>
    <row r="13" spans="1:5" x14ac:dyDescent="0.15">
      <c r="A13">
        <v>3</v>
      </c>
      <c r="C13">
        <v>25</v>
      </c>
      <c r="D13">
        <v>1</v>
      </c>
    </row>
    <row r="14" spans="1:5" x14ac:dyDescent="0.15">
      <c r="A14">
        <v>4</v>
      </c>
      <c r="C14">
        <v>2</v>
      </c>
      <c r="D14">
        <v>2</v>
      </c>
    </row>
    <row r="15" spans="1:5" x14ac:dyDescent="0.15">
      <c r="A15">
        <v>5</v>
      </c>
      <c r="C15">
        <v>3</v>
      </c>
      <c r="D15">
        <v>3</v>
      </c>
    </row>
    <row r="16" spans="1:5" x14ac:dyDescent="0.15">
      <c r="A16">
        <v>6</v>
      </c>
      <c r="C16">
        <v>12</v>
      </c>
      <c r="D16">
        <v>3</v>
      </c>
    </row>
    <row r="17" spans="1:5" x14ac:dyDescent="0.15">
      <c r="A17">
        <v>7</v>
      </c>
      <c r="C17">
        <v>9</v>
      </c>
      <c r="D17">
        <v>3</v>
      </c>
    </row>
    <row r="18" spans="1:5" x14ac:dyDescent="0.15">
      <c r="A18">
        <v>8</v>
      </c>
      <c r="C18">
        <v>17</v>
      </c>
      <c r="D18">
        <v>3</v>
      </c>
    </row>
    <row r="19" spans="1:5" x14ac:dyDescent="0.15">
      <c r="A19">
        <v>9</v>
      </c>
      <c r="C19">
        <v>17</v>
      </c>
      <c r="D19">
        <v>10</v>
      </c>
    </row>
    <row r="20" spans="1:5" x14ac:dyDescent="0.15">
      <c r="A20">
        <v>10</v>
      </c>
      <c r="C20">
        <v>12</v>
      </c>
      <c r="D20">
        <v>10</v>
      </c>
    </row>
    <row r="21" spans="1:5" x14ac:dyDescent="0.15">
      <c r="A21">
        <v>11</v>
      </c>
      <c r="C21">
        <v>9</v>
      </c>
      <c r="D21">
        <v>10</v>
      </c>
    </row>
    <row r="22" spans="1:5" x14ac:dyDescent="0.15">
      <c r="A22">
        <v>12</v>
      </c>
      <c r="C22">
        <v>4</v>
      </c>
      <c r="D22">
        <v>1</v>
      </c>
    </row>
    <row r="23" spans="1:5" x14ac:dyDescent="0.15">
      <c r="A23">
        <v>13</v>
      </c>
      <c r="C23">
        <v>12</v>
      </c>
      <c r="D23">
        <v>1</v>
      </c>
    </row>
    <row r="24" spans="1:5" x14ac:dyDescent="0.15">
      <c r="A24">
        <v>14</v>
      </c>
      <c r="C24">
        <v>17</v>
      </c>
      <c r="D24">
        <v>1</v>
      </c>
    </row>
    <row r="25" spans="1:5" x14ac:dyDescent="0.15">
      <c r="A25">
        <v>15</v>
      </c>
      <c r="C25">
        <v>12</v>
      </c>
      <c r="D25">
        <v>3</v>
      </c>
    </row>
    <row r="26" spans="1:5" x14ac:dyDescent="0.15">
      <c r="A26">
        <v>16</v>
      </c>
      <c r="C26">
        <v>17</v>
      </c>
      <c r="D26">
        <v>10</v>
      </c>
      <c r="E26" t="s">
        <v>886</v>
      </c>
    </row>
    <row r="27" spans="1:5" x14ac:dyDescent="0.15">
      <c r="A27">
        <v>17</v>
      </c>
      <c r="C27">
        <v>12</v>
      </c>
      <c r="D27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案件状態</vt:lpstr>
      <vt:lpstr>会社</vt:lpstr>
      <vt:lpstr>部署</vt:lpstr>
      <vt:lpstr>営業員</vt:lpstr>
      <vt:lpstr>社員</vt:lpstr>
      <vt:lpstr>取引先</vt:lpstr>
      <vt:lpstr>案件</vt:lpstr>
      <vt:lpstr>案件メンバー</vt:lpstr>
      <vt:lpstr>お客様</vt:lpstr>
      <vt:lpstr>スキル</vt:lpstr>
      <vt:lpstr>案件のスキル要求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Wanjun</dc:creator>
  <cp:lastModifiedBy>Yang Wanjun</cp:lastModifiedBy>
  <dcterms:created xsi:type="dcterms:W3CDTF">2015-09-03T02:53:45Z</dcterms:created>
  <dcterms:modified xsi:type="dcterms:W3CDTF">2015-09-04T08:29:49Z</dcterms:modified>
</cp:coreProperties>
</file>